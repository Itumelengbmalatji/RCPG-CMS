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xml" ContentType="application/vnd.ms-office.chartstyle+xml"/>
  <Override PartName="/xl/charts/colors1.xml" ContentType="application/vnd.ms-office.chartcolorstyle+xml"/>
  <Override PartName="/xl/charts/chart14.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15.xml" ContentType="application/vnd.openxmlformats-officedocument.drawingml.chart+xml"/>
  <Override PartName="/xl/charts/style4.xml" ContentType="application/vnd.ms-office.chartstyle+xml"/>
  <Override PartName="/xl/charts/colors4.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cpmindustries1.sharepoint.com/sites/RCPMIndustries/Shared Documents/RCPM Industries/27. Estimations/7. Business Development Strategy/2026 - Business Development Strategy/Plant optimization/GG Optimisation/"/>
    </mc:Choice>
  </mc:AlternateContent>
  <xr:revisionPtr revIDLastSave="150" documentId="8_{6D2D2FA0-6CF7-4F15-B556-C613CBD67D4B}" xr6:coauthVersionLast="47" xr6:coauthVersionMax="47" xr10:uidLastSave="{82028B76-9B51-4F82-BCC7-74DD44E850BA}"/>
  <bookViews>
    <workbookView xWindow="-108" yWindow="-108" windowWidth="23256" windowHeight="13896" tabRatio="500" firstSheet="16" activeTab="18" xr2:uid="{00000000-000D-0000-FFFF-FFFF00000000}"/>
  </bookViews>
  <sheets>
    <sheet name="DASHBOARD" sheetId="1" r:id="rId1"/>
    <sheet name="INFO - MECHANICAL" sheetId="20" state="hidden" r:id="rId2"/>
    <sheet name="FLEET SUMMARY" sheetId="2" r:id="rId3"/>
    <sheet name="MECHANIC PERFORMANCE" sheetId="13" r:id="rId4"/>
    <sheet name="AVAILABILITY" sheetId="3" r:id="rId5"/>
    <sheet name="SETUP &amp; TARGETS" sheetId="4" state="hidden" r:id="rId6"/>
    <sheet name="CRT220" sheetId="5" r:id="rId7"/>
    <sheet name="CRT221" sheetId="6" r:id="rId8"/>
    <sheet name="CRT222" sheetId="7" r:id="rId9"/>
    <sheet name="CRT224" sheetId="8" r:id="rId10"/>
    <sheet name="CRT225" sheetId="9" r:id="rId11"/>
    <sheet name="MECHANIC ROSTER" sheetId="10" r:id="rId12"/>
    <sheet name="MAINTENANCE LOG" sheetId="12" r:id="rId13"/>
    <sheet name="DELAY &amp; ROOT CAUSE" sheetId="14" r:id="rId14"/>
    <sheet name="SAFETY KPI" sheetId="15" r:id="rId15"/>
    <sheet name="MTTR &amp; MTBF" sheetId="16" state="hidden" r:id="rId16"/>
    <sheet name="MONTHLY SUMMARY" sheetId="17" r:id="rId17"/>
    <sheet name="EQUIPMENT REGISTER" sheetId="11" r:id="rId18"/>
    <sheet name="DELAY CODE REGISTER" sheetId="18" r:id="rId19"/>
    <sheet name="DATA QUALITY CHECK" sheetId="19" state="hidden" r:id="rId20"/>
  </sheets>
  <definedNames>
    <definedName name="_xlchart.v1.0" hidden="1">'INFO - MECHANICAL'!$D$51:$R$52</definedName>
    <definedName name="_xlchart.v1.1" hidden="1">'INFO - MECHANICAL'!$D$53:$R$53</definedName>
    <definedName name="EQUIPLIST">'EQUIPMENT REGISTER'!$B$7:$B$21</definedName>
    <definedName name="MECHLIST">'SETUP &amp; TARGETS'!$B$40:$B$43</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38" i="5" l="1"/>
  <c r="O38" i="5"/>
  <c r="O7" i="6"/>
  <c r="O7" i="5"/>
  <c r="O38" i="9"/>
  <c r="C35" i="19"/>
  <c r="C34" i="19"/>
  <c r="C32" i="19"/>
  <c r="C30" i="19"/>
  <c r="C29" i="19"/>
  <c r="C28" i="19"/>
  <c r="C27" i="19"/>
  <c r="C26" i="19"/>
  <c r="C25" i="19"/>
  <c r="C20" i="19"/>
  <c r="C18" i="19"/>
  <c r="C17" i="19"/>
  <c r="C16" i="19"/>
  <c r="C15" i="19"/>
  <c r="C14" i="19"/>
  <c r="C13" i="19"/>
  <c r="C12" i="19"/>
  <c r="C11" i="19"/>
  <c r="C9" i="19"/>
  <c r="C8" i="19"/>
  <c r="C6" i="19"/>
  <c r="V21" i="11"/>
  <c r="T21" i="11"/>
  <c r="S21" i="11"/>
  <c r="Q21" i="11"/>
  <c r="O21" i="11"/>
  <c r="R21" i="11" s="1"/>
  <c r="L21" i="11"/>
  <c r="V20" i="11"/>
  <c r="T20" i="11"/>
  <c r="S20" i="11"/>
  <c r="Q20" i="11"/>
  <c r="O20" i="11"/>
  <c r="R20" i="11" s="1"/>
  <c r="L20" i="11"/>
  <c r="V19" i="11"/>
  <c r="T19" i="11"/>
  <c r="S19" i="11"/>
  <c r="Q19" i="11"/>
  <c r="O19" i="11"/>
  <c r="R19" i="11" s="1"/>
  <c r="L19" i="11"/>
  <c r="V18" i="11"/>
  <c r="T18" i="11"/>
  <c r="S18" i="11"/>
  <c r="Q18" i="11"/>
  <c r="O18" i="11"/>
  <c r="R18" i="11" s="1"/>
  <c r="L18" i="11"/>
  <c r="V17" i="11"/>
  <c r="T17" i="11"/>
  <c r="S17" i="11"/>
  <c r="Q17" i="11"/>
  <c r="O17" i="11"/>
  <c r="R17" i="11" s="1"/>
  <c r="L17" i="11"/>
  <c r="T16" i="11"/>
  <c r="S16" i="11"/>
  <c r="Q16" i="11"/>
  <c r="O16" i="11"/>
  <c r="R16" i="11" s="1"/>
  <c r="L16" i="11" s="1"/>
  <c r="T15" i="11"/>
  <c r="S15" i="11"/>
  <c r="Q15" i="11"/>
  <c r="O15" i="11"/>
  <c r="R15" i="11" s="1"/>
  <c r="L15" i="11" s="1"/>
  <c r="T14" i="11"/>
  <c r="S14" i="11"/>
  <c r="Q14" i="11"/>
  <c r="O14" i="11"/>
  <c r="R14" i="11" s="1"/>
  <c r="L14" i="11" s="1"/>
  <c r="T13" i="11"/>
  <c r="S13" i="11"/>
  <c r="Q13" i="11"/>
  <c r="O13" i="11"/>
  <c r="R13" i="11" s="1"/>
  <c r="L13" i="11" s="1"/>
  <c r="T12" i="11"/>
  <c r="S12" i="11"/>
  <c r="Q12" i="11"/>
  <c r="O12" i="11"/>
  <c r="R12" i="11" s="1"/>
  <c r="L12" i="11" s="1"/>
  <c r="T11" i="11"/>
  <c r="S11" i="11"/>
  <c r="Q11" i="11"/>
  <c r="O11" i="11"/>
  <c r="R11" i="11" s="1"/>
  <c r="L11" i="11" s="1"/>
  <c r="T10" i="11"/>
  <c r="S10" i="11"/>
  <c r="Q10" i="11"/>
  <c r="O10" i="11"/>
  <c r="R10" i="11" s="1"/>
  <c r="L10" i="11" s="1"/>
  <c r="T9" i="11"/>
  <c r="S9" i="11"/>
  <c r="Q9" i="11"/>
  <c r="O9" i="11"/>
  <c r="R9" i="11" s="1"/>
  <c r="L9" i="11" s="1"/>
  <c r="T8" i="11"/>
  <c r="S8" i="11"/>
  <c r="Q8" i="11"/>
  <c r="O8" i="11"/>
  <c r="R8" i="11" s="1"/>
  <c r="L8" i="11" s="1"/>
  <c r="T7" i="11"/>
  <c r="S7" i="11"/>
  <c r="Q7" i="11"/>
  <c r="O7" i="11"/>
  <c r="R7" i="11" s="1"/>
  <c r="L7" i="11" s="1"/>
  <c r="P39" i="17"/>
  <c r="O39" i="17"/>
  <c r="N39" i="17"/>
  <c r="M39" i="17"/>
  <c r="L39" i="17"/>
  <c r="K39" i="17"/>
  <c r="J39" i="17"/>
  <c r="I39" i="17"/>
  <c r="H39" i="17"/>
  <c r="G39" i="17"/>
  <c r="F39" i="17"/>
  <c r="E39" i="17"/>
  <c r="P38" i="17"/>
  <c r="O38" i="17"/>
  <c r="N38" i="17"/>
  <c r="M38" i="17"/>
  <c r="L38" i="17"/>
  <c r="K38" i="17"/>
  <c r="J38" i="17"/>
  <c r="I38" i="17"/>
  <c r="H38" i="17"/>
  <c r="G38" i="17"/>
  <c r="F38" i="17"/>
  <c r="E38" i="17"/>
  <c r="P37" i="17"/>
  <c r="O37" i="17"/>
  <c r="N37" i="17"/>
  <c r="M37" i="17"/>
  <c r="K37" i="17"/>
  <c r="J37" i="17"/>
  <c r="I37" i="17"/>
  <c r="H37" i="17"/>
  <c r="G37" i="17"/>
  <c r="F37" i="17"/>
  <c r="E37" i="17"/>
  <c r="P36" i="17"/>
  <c r="O36" i="17"/>
  <c r="N36" i="17"/>
  <c r="M36" i="17"/>
  <c r="K36" i="17"/>
  <c r="J36" i="17"/>
  <c r="I36" i="17"/>
  <c r="H36" i="17"/>
  <c r="G36" i="17"/>
  <c r="F36" i="17"/>
  <c r="E36" i="17"/>
  <c r="P35" i="17"/>
  <c r="O35" i="17"/>
  <c r="N35" i="17"/>
  <c r="M35" i="17"/>
  <c r="K35" i="17"/>
  <c r="J35" i="17"/>
  <c r="I35" i="17"/>
  <c r="H35" i="17"/>
  <c r="G35" i="17"/>
  <c r="F35" i="17"/>
  <c r="E35" i="17"/>
  <c r="P34" i="17"/>
  <c r="O34" i="17"/>
  <c r="N34" i="17"/>
  <c r="M34" i="17"/>
  <c r="K34" i="17"/>
  <c r="J34" i="17"/>
  <c r="I34" i="17"/>
  <c r="H34" i="17"/>
  <c r="G34" i="17"/>
  <c r="F34" i="17"/>
  <c r="E34" i="17"/>
  <c r="P32" i="17"/>
  <c r="O32" i="17"/>
  <c r="N32" i="17"/>
  <c r="M32" i="17"/>
  <c r="L32" i="17"/>
  <c r="K32" i="17"/>
  <c r="J32" i="17"/>
  <c r="I32" i="17"/>
  <c r="H32" i="17"/>
  <c r="G32" i="17"/>
  <c r="F32" i="17"/>
  <c r="E32" i="17"/>
  <c r="P31" i="17"/>
  <c r="O31" i="17"/>
  <c r="N31" i="17"/>
  <c r="M31" i="17"/>
  <c r="L31" i="17"/>
  <c r="K31" i="17"/>
  <c r="J31" i="17"/>
  <c r="I31" i="17"/>
  <c r="H31" i="17"/>
  <c r="G31" i="17"/>
  <c r="F31" i="17"/>
  <c r="E31" i="17"/>
  <c r="P30" i="17"/>
  <c r="O30" i="17"/>
  <c r="N30" i="17"/>
  <c r="M30" i="17"/>
  <c r="K30" i="17"/>
  <c r="J30" i="17"/>
  <c r="I30" i="17"/>
  <c r="H30" i="17"/>
  <c r="G30" i="17"/>
  <c r="F30" i="17"/>
  <c r="E30" i="17"/>
  <c r="P29" i="17"/>
  <c r="O29" i="17"/>
  <c r="N29" i="17"/>
  <c r="M29" i="17"/>
  <c r="K29" i="17"/>
  <c r="J29" i="17"/>
  <c r="I29" i="17"/>
  <c r="H29" i="17"/>
  <c r="G29" i="17"/>
  <c r="F29" i="17"/>
  <c r="E29" i="17"/>
  <c r="P28" i="17"/>
  <c r="O28" i="17"/>
  <c r="N28" i="17"/>
  <c r="M28" i="17"/>
  <c r="K28" i="17"/>
  <c r="J28" i="17"/>
  <c r="I28" i="17"/>
  <c r="H28" i="17"/>
  <c r="G28" i="17"/>
  <c r="F28" i="17"/>
  <c r="E28" i="17"/>
  <c r="P27" i="17"/>
  <c r="O27" i="17"/>
  <c r="N27" i="17"/>
  <c r="M27" i="17"/>
  <c r="K27" i="17"/>
  <c r="J27" i="17"/>
  <c r="I27" i="17"/>
  <c r="H27" i="17"/>
  <c r="G27" i="17"/>
  <c r="F27" i="17"/>
  <c r="E27" i="17"/>
  <c r="P25" i="17"/>
  <c r="O25" i="17"/>
  <c r="N25" i="17"/>
  <c r="M25" i="17"/>
  <c r="L25" i="17"/>
  <c r="K25" i="17"/>
  <c r="J25" i="17"/>
  <c r="I25" i="17"/>
  <c r="H25" i="17"/>
  <c r="G25" i="17"/>
  <c r="F25" i="17"/>
  <c r="E25" i="17"/>
  <c r="P24" i="17"/>
  <c r="O24" i="17"/>
  <c r="N24" i="17"/>
  <c r="M24" i="17"/>
  <c r="L24" i="17"/>
  <c r="K24" i="17"/>
  <c r="J24" i="17"/>
  <c r="I24" i="17"/>
  <c r="H24" i="17"/>
  <c r="G24" i="17"/>
  <c r="F24" i="17"/>
  <c r="E24" i="17"/>
  <c r="P23" i="17"/>
  <c r="O23" i="17"/>
  <c r="N23" i="17"/>
  <c r="M23" i="17"/>
  <c r="K23" i="17"/>
  <c r="J23" i="17"/>
  <c r="I23" i="17"/>
  <c r="H23" i="17"/>
  <c r="G23" i="17"/>
  <c r="F23" i="17"/>
  <c r="E23" i="17"/>
  <c r="P22" i="17"/>
  <c r="O22" i="17"/>
  <c r="N22" i="17"/>
  <c r="M22" i="17"/>
  <c r="K22" i="17"/>
  <c r="J22" i="17"/>
  <c r="I22" i="17"/>
  <c r="H22" i="17"/>
  <c r="G22" i="17"/>
  <c r="F22" i="17"/>
  <c r="E22" i="17"/>
  <c r="P21" i="17"/>
  <c r="O21" i="17"/>
  <c r="N21" i="17"/>
  <c r="M21" i="17"/>
  <c r="K21" i="17"/>
  <c r="J21" i="17"/>
  <c r="I21" i="17"/>
  <c r="H21" i="17"/>
  <c r="G21" i="17"/>
  <c r="F21" i="17"/>
  <c r="E21" i="17"/>
  <c r="P20" i="17"/>
  <c r="O20" i="17"/>
  <c r="N20" i="17"/>
  <c r="M20" i="17"/>
  <c r="K20" i="17"/>
  <c r="J20" i="17"/>
  <c r="I20" i="17"/>
  <c r="H20" i="17"/>
  <c r="G20" i="17"/>
  <c r="F20" i="17"/>
  <c r="E20" i="17"/>
  <c r="P18" i="17"/>
  <c r="O18" i="17"/>
  <c r="N18" i="17"/>
  <c r="L18" i="17"/>
  <c r="K18" i="17"/>
  <c r="J18" i="17"/>
  <c r="I18" i="17"/>
  <c r="H18" i="17"/>
  <c r="G18" i="17"/>
  <c r="F18" i="17"/>
  <c r="E18" i="17"/>
  <c r="P17" i="17"/>
  <c r="O17" i="17"/>
  <c r="N17" i="17"/>
  <c r="L17" i="17"/>
  <c r="K17" i="17"/>
  <c r="J17" i="17"/>
  <c r="I17" i="17"/>
  <c r="H17" i="17"/>
  <c r="G17" i="17"/>
  <c r="F17" i="17"/>
  <c r="E17" i="17"/>
  <c r="P16" i="17"/>
  <c r="O16" i="17"/>
  <c r="N16" i="17"/>
  <c r="L16" i="17"/>
  <c r="K16" i="17"/>
  <c r="J16" i="17"/>
  <c r="I16" i="17"/>
  <c r="H16" i="17"/>
  <c r="G16" i="17"/>
  <c r="F16" i="17"/>
  <c r="E16" i="17"/>
  <c r="P15" i="17"/>
  <c r="O15" i="17"/>
  <c r="N15" i="17"/>
  <c r="L15" i="17"/>
  <c r="K15" i="17"/>
  <c r="J15" i="17"/>
  <c r="I15" i="17"/>
  <c r="H15" i="17"/>
  <c r="G15" i="17"/>
  <c r="F15" i="17"/>
  <c r="E15" i="17"/>
  <c r="P14" i="17"/>
  <c r="O14" i="17"/>
  <c r="N14" i="17"/>
  <c r="L14" i="17"/>
  <c r="K14" i="17"/>
  <c r="J14" i="17"/>
  <c r="I14" i="17"/>
  <c r="H14" i="17"/>
  <c r="G14" i="17"/>
  <c r="F14" i="17"/>
  <c r="E14" i="17"/>
  <c r="P13" i="17"/>
  <c r="O13" i="17"/>
  <c r="N13" i="17"/>
  <c r="L13" i="17"/>
  <c r="K13" i="17"/>
  <c r="J13" i="17"/>
  <c r="I13" i="17"/>
  <c r="H13" i="17"/>
  <c r="G13" i="17"/>
  <c r="F13" i="17"/>
  <c r="E13" i="17"/>
  <c r="P11" i="17"/>
  <c r="O11" i="17"/>
  <c r="N11" i="17"/>
  <c r="M11" i="17"/>
  <c r="L11" i="17"/>
  <c r="K11" i="17"/>
  <c r="J11" i="17"/>
  <c r="I11" i="17"/>
  <c r="H11" i="17"/>
  <c r="G11" i="17"/>
  <c r="F11" i="17"/>
  <c r="E11" i="17"/>
  <c r="P10" i="17"/>
  <c r="O10" i="17"/>
  <c r="N10" i="17"/>
  <c r="M10" i="17"/>
  <c r="L10" i="17"/>
  <c r="K10" i="17"/>
  <c r="J10" i="17"/>
  <c r="I10" i="17"/>
  <c r="H10" i="17"/>
  <c r="G10" i="17"/>
  <c r="F10" i="17"/>
  <c r="E10" i="17"/>
  <c r="P9" i="17"/>
  <c r="O9" i="17"/>
  <c r="N9" i="17"/>
  <c r="L9" i="17"/>
  <c r="K9" i="17"/>
  <c r="J9" i="17"/>
  <c r="I9" i="17"/>
  <c r="H9" i="17"/>
  <c r="G9" i="17"/>
  <c r="F9" i="17"/>
  <c r="E9" i="17"/>
  <c r="P8" i="17"/>
  <c r="O8" i="17"/>
  <c r="N8" i="17"/>
  <c r="L8" i="17"/>
  <c r="K8" i="17"/>
  <c r="J8" i="17"/>
  <c r="I8" i="17"/>
  <c r="H8" i="17"/>
  <c r="G8" i="17"/>
  <c r="F8" i="17"/>
  <c r="E8" i="17"/>
  <c r="P7" i="17"/>
  <c r="O7" i="17"/>
  <c r="N7" i="17"/>
  <c r="L7" i="17"/>
  <c r="K7" i="17"/>
  <c r="J7" i="17"/>
  <c r="I7" i="17"/>
  <c r="H7" i="17"/>
  <c r="G7" i="17"/>
  <c r="F7" i="17"/>
  <c r="E7" i="17"/>
  <c r="P6" i="17"/>
  <c r="O6" i="17"/>
  <c r="N6" i="17"/>
  <c r="L6" i="17"/>
  <c r="K6" i="17"/>
  <c r="J6" i="17"/>
  <c r="I6" i="17"/>
  <c r="H6" i="17"/>
  <c r="G6" i="17"/>
  <c r="F6" i="17"/>
  <c r="E6" i="17"/>
  <c r="D45" i="16"/>
  <c r="E45" i="16" s="1"/>
  <c r="C45" i="16"/>
  <c r="D44" i="16"/>
  <c r="E44" i="16" s="1"/>
  <c r="C44" i="16"/>
  <c r="D43" i="16"/>
  <c r="E43" i="16" s="1"/>
  <c r="C43" i="16"/>
  <c r="D42" i="16"/>
  <c r="E42" i="16" s="1"/>
  <c r="C42" i="16"/>
  <c r="D41" i="16"/>
  <c r="E41" i="16" s="1"/>
  <c r="C41" i="16"/>
  <c r="J25" i="15"/>
  <c r="I25" i="15"/>
  <c r="D25" i="15"/>
  <c r="J24" i="15"/>
  <c r="I24" i="15"/>
  <c r="D24" i="15"/>
  <c r="J23" i="15"/>
  <c r="I23" i="15"/>
  <c r="D23" i="15"/>
  <c r="J22" i="15"/>
  <c r="I22" i="15"/>
  <c r="D22" i="15"/>
  <c r="J21" i="15"/>
  <c r="I21" i="15"/>
  <c r="D21" i="15"/>
  <c r="J20" i="15"/>
  <c r="I20" i="15"/>
  <c r="D20" i="15"/>
  <c r="J19" i="15"/>
  <c r="I19" i="15"/>
  <c r="D19" i="15"/>
  <c r="J18" i="15"/>
  <c r="I18" i="15"/>
  <c r="D18" i="15"/>
  <c r="J17" i="15"/>
  <c r="I17" i="15"/>
  <c r="D17" i="15"/>
  <c r="J16" i="15"/>
  <c r="I16" i="15"/>
  <c r="D16" i="15"/>
  <c r="J15" i="15"/>
  <c r="I15" i="15"/>
  <c r="D15" i="15"/>
  <c r="J14" i="15"/>
  <c r="I14" i="15"/>
  <c r="D14" i="15"/>
  <c r="J13" i="15"/>
  <c r="I13" i="15"/>
  <c r="D13" i="15"/>
  <c r="J12" i="15"/>
  <c r="I12" i="15"/>
  <c r="D12" i="15"/>
  <c r="J11" i="15"/>
  <c r="I11" i="15"/>
  <c r="D11" i="15"/>
  <c r="I10" i="15"/>
  <c r="J10" i="15" s="1"/>
  <c r="D10" i="15"/>
  <c r="D7" i="15"/>
  <c r="I56" i="14"/>
  <c r="G56" i="14"/>
  <c r="H56" i="14" s="1"/>
  <c r="D56" i="14"/>
  <c r="I55" i="14"/>
  <c r="G55" i="14"/>
  <c r="H55" i="14" s="1"/>
  <c r="D55" i="14"/>
  <c r="I54" i="14"/>
  <c r="G54" i="14"/>
  <c r="H54" i="14" s="1"/>
  <c r="D54" i="14"/>
  <c r="I53" i="14"/>
  <c r="G53" i="14"/>
  <c r="H53" i="14" s="1"/>
  <c r="D53" i="14"/>
  <c r="I52" i="14"/>
  <c r="G52" i="14"/>
  <c r="H52" i="14" s="1"/>
  <c r="D52" i="14"/>
  <c r="I51" i="14"/>
  <c r="G51" i="14"/>
  <c r="H51" i="14" s="1"/>
  <c r="D51" i="14"/>
  <c r="I50" i="14"/>
  <c r="G50" i="14"/>
  <c r="H50" i="14" s="1"/>
  <c r="D50" i="14"/>
  <c r="I49" i="14"/>
  <c r="G49" i="14"/>
  <c r="H49" i="14" s="1"/>
  <c r="D49" i="14"/>
  <c r="I48" i="14"/>
  <c r="G48" i="14"/>
  <c r="H48" i="14" s="1"/>
  <c r="D48" i="14"/>
  <c r="I47" i="14"/>
  <c r="G47" i="14"/>
  <c r="H47" i="14" s="1"/>
  <c r="D47" i="14"/>
  <c r="I46" i="14"/>
  <c r="G46" i="14"/>
  <c r="H46" i="14" s="1"/>
  <c r="D46" i="14"/>
  <c r="I45" i="14"/>
  <c r="G45" i="14"/>
  <c r="H45" i="14" s="1"/>
  <c r="D45" i="14"/>
  <c r="I44" i="14"/>
  <c r="G44" i="14"/>
  <c r="H44" i="14" s="1"/>
  <c r="D44" i="14"/>
  <c r="I43" i="14"/>
  <c r="G43" i="14"/>
  <c r="H43" i="14" s="1"/>
  <c r="D43" i="14"/>
  <c r="I42" i="14"/>
  <c r="G42" i="14"/>
  <c r="H42" i="14" s="1"/>
  <c r="D42" i="14"/>
  <c r="I41" i="14"/>
  <c r="G41" i="14"/>
  <c r="H41" i="14" s="1"/>
  <c r="D41" i="14"/>
  <c r="I40" i="14"/>
  <c r="G40" i="14"/>
  <c r="H40" i="14" s="1"/>
  <c r="D40" i="14"/>
  <c r="I39" i="14"/>
  <c r="G39" i="14"/>
  <c r="H39" i="14" s="1"/>
  <c r="D39" i="14"/>
  <c r="I38" i="14"/>
  <c r="G38" i="14"/>
  <c r="H38" i="14" s="1"/>
  <c r="D38" i="14"/>
  <c r="I37" i="14"/>
  <c r="G37" i="14"/>
  <c r="H37" i="14" s="1"/>
  <c r="D37" i="14"/>
  <c r="I36" i="14"/>
  <c r="G36" i="14"/>
  <c r="H36" i="14" s="1"/>
  <c r="D36" i="14"/>
  <c r="I35" i="14"/>
  <c r="G35" i="14"/>
  <c r="H35" i="14" s="1"/>
  <c r="D35" i="14"/>
  <c r="I34" i="14"/>
  <c r="G34" i="14"/>
  <c r="H34" i="14" s="1"/>
  <c r="D34" i="14"/>
  <c r="I33" i="14"/>
  <c r="G33" i="14"/>
  <c r="H33" i="14" s="1"/>
  <c r="D33" i="14"/>
  <c r="I32" i="14"/>
  <c r="G32" i="14"/>
  <c r="H32" i="14" s="1"/>
  <c r="D32" i="14"/>
  <c r="I31" i="14"/>
  <c r="G31" i="14"/>
  <c r="H31" i="14" s="1"/>
  <c r="D31" i="14"/>
  <c r="I30" i="14"/>
  <c r="G30" i="14"/>
  <c r="H30" i="14" s="1"/>
  <c r="D30" i="14"/>
  <c r="I29" i="14"/>
  <c r="G29" i="14"/>
  <c r="H29" i="14" s="1"/>
  <c r="D29" i="14"/>
  <c r="I28" i="14"/>
  <c r="G28" i="14"/>
  <c r="H28" i="14" s="1"/>
  <c r="D28" i="14"/>
  <c r="I27" i="14"/>
  <c r="G27" i="14"/>
  <c r="H27" i="14" s="1"/>
  <c r="D27" i="14"/>
  <c r="I26" i="14"/>
  <c r="G26" i="14"/>
  <c r="H26" i="14" s="1"/>
  <c r="D26" i="14"/>
  <c r="I25" i="14"/>
  <c r="G25" i="14"/>
  <c r="H25" i="14" s="1"/>
  <c r="D25" i="14"/>
  <c r="I24" i="14"/>
  <c r="G24" i="14"/>
  <c r="H24" i="14" s="1"/>
  <c r="D24" i="14"/>
  <c r="I23" i="14"/>
  <c r="G23" i="14"/>
  <c r="H23" i="14" s="1"/>
  <c r="D23" i="14"/>
  <c r="I22" i="14"/>
  <c r="G22" i="14"/>
  <c r="H22" i="14" s="1"/>
  <c r="D22" i="14"/>
  <c r="I21" i="14"/>
  <c r="G21" i="14"/>
  <c r="H21" i="14" s="1"/>
  <c r="D21" i="14"/>
  <c r="I20" i="14"/>
  <c r="G20" i="14"/>
  <c r="H20" i="14" s="1"/>
  <c r="D20" i="14"/>
  <c r="I19" i="14"/>
  <c r="G19" i="14"/>
  <c r="H19" i="14" s="1"/>
  <c r="D19" i="14"/>
  <c r="I18" i="14"/>
  <c r="G18" i="14"/>
  <c r="H18" i="14" s="1"/>
  <c r="D18" i="14"/>
  <c r="I17" i="14"/>
  <c r="G17" i="14"/>
  <c r="H17" i="14" s="1"/>
  <c r="D17" i="14"/>
  <c r="I16" i="14"/>
  <c r="G16" i="14"/>
  <c r="H16" i="14" s="1"/>
  <c r="D16" i="14"/>
  <c r="I15" i="14"/>
  <c r="G15" i="14"/>
  <c r="H15" i="14" s="1"/>
  <c r="D15" i="14"/>
  <c r="I14" i="14"/>
  <c r="G14" i="14"/>
  <c r="H14" i="14" s="1"/>
  <c r="D14" i="14"/>
  <c r="I13" i="14"/>
  <c r="G13" i="14"/>
  <c r="H13" i="14" s="1"/>
  <c r="D13" i="14"/>
  <c r="I12" i="14"/>
  <c r="G12" i="14"/>
  <c r="H12" i="14" s="1"/>
  <c r="D12" i="14"/>
  <c r="I11" i="14"/>
  <c r="G11" i="14"/>
  <c r="H11" i="14" s="1"/>
  <c r="D11" i="14"/>
  <c r="I10" i="14"/>
  <c r="G10" i="14"/>
  <c r="H10" i="14" s="1"/>
  <c r="D10" i="14"/>
  <c r="I9" i="14"/>
  <c r="G9" i="14"/>
  <c r="H9" i="14" s="1"/>
  <c r="D9" i="14"/>
  <c r="I8" i="14"/>
  <c r="G8" i="14"/>
  <c r="H8" i="14" s="1"/>
  <c r="D8" i="14"/>
  <c r="I7" i="14"/>
  <c r="G7" i="14"/>
  <c r="H7" i="14" s="1"/>
  <c r="D7" i="14"/>
  <c r="AB107" i="12"/>
  <c r="AA107" i="12"/>
  <c r="U107" i="12"/>
  <c r="R107" i="12"/>
  <c r="S107" i="12" s="1"/>
  <c r="T107" i="12" s="1"/>
  <c r="D107" i="12"/>
  <c r="AB106" i="12"/>
  <c r="AA106" i="12"/>
  <c r="U106" i="12"/>
  <c r="R106" i="12"/>
  <c r="S106" i="12" s="1"/>
  <c r="T106" i="12" s="1"/>
  <c r="D106" i="12"/>
  <c r="AB105" i="12"/>
  <c r="AA105" i="12"/>
  <c r="U105" i="12"/>
  <c r="R105" i="12"/>
  <c r="S105" i="12" s="1"/>
  <c r="T105" i="12" s="1"/>
  <c r="D105" i="12"/>
  <c r="AB104" i="12"/>
  <c r="AA104" i="12"/>
  <c r="U104" i="12"/>
  <c r="R104" i="12"/>
  <c r="S104" i="12" s="1"/>
  <c r="T104" i="12" s="1"/>
  <c r="D104" i="12"/>
  <c r="AB103" i="12"/>
  <c r="AA103" i="12"/>
  <c r="U103" i="12"/>
  <c r="R103" i="12"/>
  <c r="S103" i="12" s="1"/>
  <c r="T103" i="12" s="1"/>
  <c r="D103" i="12"/>
  <c r="AB102" i="12"/>
  <c r="AA102" i="12"/>
  <c r="U102" i="12"/>
  <c r="R102" i="12"/>
  <c r="S102" i="12" s="1"/>
  <c r="T102" i="12" s="1"/>
  <c r="D102" i="12"/>
  <c r="AB101" i="12"/>
  <c r="AA101" i="12"/>
  <c r="U101" i="12"/>
  <c r="R101" i="12"/>
  <c r="S101" i="12" s="1"/>
  <c r="T101" i="12" s="1"/>
  <c r="D101" i="12"/>
  <c r="AB100" i="12"/>
  <c r="AA100" i="12"/>
  <c r="U100" i="12"/>
  <c r="R100" i="12"/>
  <c r="S100" i="12" s="1"/>
  <c r="T100" i="12" s="1"/>
  <c r="D100" i="12"/>
  <c r="AB99" i="12"/>
  <c r="AA99" i="12"/>
  <c r="U99" i="12"/>
  <c r="R99" i="12"/>
  <c r="S99" i="12" s="1"/>
  <c r="T99" i="12" s="1"/>
  <c r="D99" i="12"/>
  <c r="AB98" i="12"/>
  <c r="AA98" i="12"/>
  <c r="U98" i="12"/>
  <c r="R98" i="12"/>
  <c r="S98" i="12" s="1"/>
  <c r="T98" i="12" s="1"/>
  <c r="D98" i="12"/>
  <c r="AB97" i="12"/>
  <c r="AA97" i="12"/>
  <c r="U97" i="12"/>
  <c r="R97" i="12"/>
  <c r="S97" i="12" s="1"/>
  <c r="T97" i="12" s="1"/>
  <c r="D97" i="12"/>
  <c r="AB96" i="12"/>
  <c r="AA96" i="12"/>
  <c r="U96" i="12"/>
  <c r="R96" i="12"/>
  <c r="S96" i="12" s="1"/>
  <c r="T96" i="12" s="1"/>
  <c r="D96" i="12"/>
  <c r="AB95" i="12"/>
  <c r="AA95" i="12"/>
  <c r="U95" i="12"/>
  <c r="R95" i="12"/>
  <c r="S95" i="12" s="1"/>
  <c r="T95" i="12" s="1"/>
  <c r="D95" i="12"/>
  <c r="AB94" i="12"/>
  <c r="AA94" i="12"/>
  <c r="U94" i="12"/>
  <c r="R94" i="12"/>
  <c r="S94" i="12" s="1"/>
  <c r="T94" i="12" s="1"/>
  <c r="D94" i="12"/>
  <c r="AB93" i="12"/>
  <c r="AA93" i="12"/>
  <c r="U93" i="12"/>
  <c r="R93" i="12"/>
  <c r="S93" i="12" s="1"/>
  <c r="T93" i="12" s="1"/>
  <c r="D93" i="12"/>
  <c r="AB92" i="12"/>
  <c r="AA92" i="12"/>
  <c r="U92" i="12"/>
  <c r="R92" i="12"/>
  <c r="S92" i="12" s="1"/>
  <c r="T92" i="12" s="1"/>
  <c r="D92" i="12"/>
  <c r="AB91" i="12"/>
  <c r="AA91" i="12"/>
  <c r="U91" i="12"/>
  <c r="R91" i="12"/>
  <c r="S91" i="12" s="1"/>
  <c r="T91" i="12" s="1"/>
  <c r="D91" i="12"/>
  <c r="AB90" i="12"/>
  <c r="AA90" i="12"/>
  <c r="U90" i="12"/>
  <c r="R90" i="12"/>
  <c r="S90" i="12" s="1"/>
  <c r="T90" i="12" s="1"/>
  <c r="D90" i="12"/>
  <c r="AB89" i="12"/>
  <c r="AA89" i="12"/>
  <c r="U89" i="12"/>
  <c r="R89" i="12"/>
  <c r="S89" i="12" s="1"/>
  <c r="T89" i="12" s="1"/>
  <c r="D89" i="12"/>
  <c r="AB88" i="12"/>
  <c r="AA88" i="12"/>
  <c r="U88" i="12"/>
  <c r="R88" i="12"/>
  <c r="S88" i="12" s="1"/>
  <c r="T88" i="12" s="1"/>
  <c r="D88" i="12"/>
  <c r="AB87" i="12"/>
  <c r="AA87" i="12"/>
  <c r="U87" i="12"/>
  <c r="R87" i="12"/>
  <c r="S87" i="12" s="1"/>
  <c r="T87" i="12" s="1"/>
  <c r="D87" i="12"/>
  <c r="AB86" i="12"/>
  <c r="AA86" i="12"/>
  <c r="U86" i="12"/>
  <c r="R86" i="12"/>
  <c r="S86" i="12" s="1"/>
  <c r="T86" i="12" s="1"/>
  <c r="D86" i="12"/>
  <c r="AB85" i="12"/>
  <c r="AA85" i="12"/>
  <c r="U85" i="12"/>
  <c r="R85" i="12"/>
  <c r="S85" i="12" s="1"/>
  <c r="T85" i="12" s="1"/>
  <c r="D85" i="12"/>
  <c r="AB84" i="12"/>
  <c r="AA84" i="12"/>
  <c r="U84" i="12"/>
  <c r="R84" i="12"/>
  <c r="S84" i="12" s="1"/>
  <c r="T84" i="12" s="1"/>
  <c r="D84" i="12"/>
  <c r="AB83" i="12"/>
  <c r="AA83" i="12"/>
  <c r="U83" i="12"/>
  <c r="R83" i="12"/>
  <c r="S83" i="12" s="1"/>
  <c r="T83" i="12" s="1"/>
  <c r="D83" i="12"/>
  <c r="AB82" i="12"/>
  <c r="AA82" i="12"/>
  <c r="U82" i="12"/>
  <c r="R82" i="12"/>
  <c r="S82" i="12" s="1"/>
  <c r="T82" i="12" s="1"/>
  <c r="D82" i="12"/>
  <c r="AB81" i="12"/>
  <c r="AA81" i="12"/>
  <c r="U81" i="12"/>
  <c r="R81" i="12"/>
  <c r="S81" i="12" s="1"/>
  <c r="T81" i="12" s="1"/>
  <c r="D81" i="12"/>
  <c r="AB80" i="12"/>
  <c r="AA80" i="12"/>
  <c r="U80" i="12"/>
  <c r="R80" i="12"/>
  <c r="S80" i="12" s="1"/>
  <c r="T80" i="12" s="1"/>
  <c r="D80" i="12"/>
  <c r="AB79" i="12"/>
  <c r="AA79" i="12"/>
  <c r="U79" i="12"/>
  <c r="R79" i="12"/>
  <c r="S79" i="12" s="1"/>
  <c r="T79" i="12" s="1"/>
  <c r="D79" i="12"/>
  <c r="AB78" i="12"/>
  <c r="AA78" i="12"/>
  <c r="U78" i="12"/>
  <c r="R78" i="12"/>
  <c r="S78" i="12" s="1"/>
  <c r="T78" i="12" s="1"/>
  <c r="D78" i="12"/>
  <c r="AB77" i="12"/>
  <c r="AA77" i="12"/>
  <c r="U77" i="12"/>
  <c r="R77" i="12"/>
  <c r="S77" i="12" s="1"/>
  <c r="T77" i="12" s="1"/>
  <c r="D77" i="12"/>
  <c r="AB76" i="12"/>
  <c r="AA76" i="12"/>
  <c r="U76" i="12"/>
  <c r="R76" i="12"/>
  <c r="S76" i="12" s="1"/>
  <c r="T76" i="12" s="1"/>
  <c r="D76" i="12"/>
  <c r="AB75" i="12"/>
  <c r="AA75" i="12"/>
  <c r="U75" i="12"/>
  <c r="R75" i="12"/>
  <c r="S75" i="12" s="1"/>
  <c r="T75" i="12" s="1"/>
  <c r="D75" i="12"/>
  <c r="AB74" i="12"/>
  <c r="AA74" i="12"/>
  <c r="U74" i="12"/>
  <c r="R74" i="12"/>
  <c r="S74" i="12" s="1"/>
  <c r="T74" i="12" s="1"/>
  <c r="D74" i="12"/>
  <c r="AB73" i="12"/>
  <c r="AA73" i="12"/>
  <c r="U73" i="12"/>
  <c r="R73" i="12"/>
  <c r="S73" i="12" s="1"/>
  <c r="T73" i="12" s="1"/>
  <c r="D73" i="12"/>
  <c r="AB72" i="12"/>
  <c r="AA72" i="12"/>
  <c r="U72" i="12"/>
  <c r="R72" i="12"/>
  <c r="S72" i="12" s="1"/>
  <c r="T72" i="12" s="1"/>
  <c r="D72" i="12"/>
  <c r="AB71" i="12"/>
  <c r="AA71" i="12"/>
  <c r="U71" i="12"/>
  <c r="R71" i="12"/>
  <c r="S71" i="12" s="1"/>
  <c r="T71" i="12" s="1"/>
  <c r="D71" i="12"/>
  <c r="AB70" i="12"/>
  <c r="AA70" i="12"/>
  <c r="U70" i="12"/>
  <c r="R70" i="12"/>
  <c r="S70" i="12" s="1"/>
  <c r="T70" i="12" s="1"/>
  <c r="D70" i="12"/>
  <c r="AB69" i="12"/>
  <c r="AA69" i="12"/>
  <c r="U69" i="12"/>
  <c r="R69" i="12"/>
  <c r="S69" i="12" s="1"/>
  <c r="T69" i="12" s="1"/>
  <c r="D69" i="12"/>
  <c r="AB68" i="12"/>
  <c r="AA68" i="12"/>
  <c r="U68" i="12"/>
  <c r="R68" i="12"/>
  <c r="S68" i="12" s="1"/>
  <c r="T68" i="12" s="1"/>
  <c r="D68" i="12"/>
  <c r="AB67" i="12"/>
  <c r="AA67" i="12"/>
  <c r="U67" i="12"/>
  <c r="R67" i="12"/>
  <c r="S67" i="12" s="1"/>
  <c r="T67" i="12" s="1"/>
  <c r="D67" i="12"/>
  <c r="AB66" i="12"/>
  <c r="AA66" i="12"/>
  <c r="U66" i="12"/>
  <c r="R66" i="12"/>
  <c r="S66" i="12" s="1"/>
  <c r="T66" i="12" s="1"/>
  <c r="D66" i="12"/>
  <c r="AB65" i="12"/>
  <c r="AA65" i="12"/>
  <c r="U65" i="12"/>
  <c r="R65" i="12"/>
  <c r="S65" i="12" s="1"/>
  <c r="T65" i="12" s="1"/>
  <c r="D65" i="12"/>
  <c r="AB64" i="12"/>
  <c r="AA64" i="12"/>
  <c r="U64" i="12"/>
  <c r="R64" i="12"/>
  <c r="S64" i="12" s="1"/>
  <c r="T64" i="12" s="1"/>
  <c r="D64" i="12"/>
  <c r="AB63" i="12"/>
  <c r="AA63" i="12"/>
  <c r="U63" i="12"/>
  <c r="R63" i="12"/>
  <c r="S63" i="12" s="1"/>
  <c r="T63" i="12" s="1"/>
  <c r="D63" i="12"/>
  <c r="AB62" i="12"/>
  <c r="AA62" i="12"/>
  <c r="U62" i="12"/>
  <c r="R62" i="12"/>
  <c r="S62" i="12" s="1"/>
  <c r="T62" i="12" s="1"/>
  <c r="D62" i="12"/>
  <c r="AB61" i="12"/>
  <c r="AA61" i="12"/>
  <c r="U61" i="12"/>
  <c r="R61" i="12"/>
  <c r="S61" i="12" s="1"/>
  <c r="T61" i="12" s="1"/>
  <c r="D61" i="12"/>
  <c r="AB60" i="12"/>
  <c r="AA60" i="12"/>
  <c r="U60" i="12"/>
  <c r="R60" i="12"/>
  <c r="S60" i="12" s="1"/>
  <c r="T60" i="12" s="1"/>
  <c r="D60" i="12"/>
  <c r="AB59" i="12"/>
  <c r="AA59" i="12"/>
  <c r="U59" i="12"/>
  <c r="R59" i="12"/>
  <c r="S59" i="12" s="1"/>
  <c r="T59" i="12" s="1"/>
  <c r="D59" i="12"/>
  <c r="AB58" i="12"/>
  <c r="AA58" i="12"/>
  <c r="U58" i="12"/>
  <c r="R58" i="12"/>
  <c r="S58" i="12" s="1"/>
  <c r="T58" i="12" s="1"/>
  <c r="D58" i="12"/>
  <c r="AB57" i="12"/>
  <c r="AA57" i="12"/>
  <c r="U57" i="12"/>
  <c r="R57" i="12"/>
  <c r="S57" i="12" s="1"/>
  <c r="T57" i="12" s="1"/>
  <c r="D57" i="12"/>
  <c r="AB56" i="12"/>
  <c r="AA56" i="12"/>
  <c r="U56" i="12"/>
  <c r="R56" i="12"/>
  <c r="S56" i="12" s="1"/>
  <c r="T56" i="12" s="1"/>
  <c r="D56" i="12"/>
  <c r="AB55" i="12"/>
  <c r="AA55" i="12"/>
  <c r="U55" i="12"/>
  <c r="R55" i="12"/>
  <c r="S55" i="12" s="1"/>
  <c r="T55" i="12" s="1"/>
  <c r="D55" i="12"/>
  <c r="AB54" i="12"/>
  <c r="AA54" i="12"/>
  <c r="U54" i="12"/>
  <c r="R54" i="12"/>
  <c r="S54" i="12" s="1"/>
  <c r="T54" i="12" s="1"/>
  <c r="D54" i="12"/>
  <c r="AB53" i="12"/>
  <c r="AA53" i="12"/>
  <c r="U53" i="12"/>
  <c r="R53" i="12"/>
  <c r="S53" i="12" s="1"/>
  <c r="T53" i="12" s="1"/>
  <c r="D53" i="12"/>
  <c r="AB52" i="12"/>
  <c r="AA52" i="12"/>
  <c r="U52" i="12"/>
  <c r="R52" i="12"/>
  <c r="S52" i="12" s="1"/>
  <c r="T52" i="12" s="1"/>
  <c r="D52" i="12"/>
  <c r="AB51" i="12"/>
  <c r="AA51" i="12"/>
  <c r="U51" i="12"/>
  <c r="R51" i="12"/>
  <c r="S51" i="12" s="1"/>
  <c r="T51" i="12" s="1"/>
  <c r="D51" i="12"/>
  <c r="AB50" i="12"/>
  <c r="AA50" i="12"/>
  <c r="U50" i="12"/>
  <c r="R50" i="12"/>
  <c r="S50" i="12" s="1"/>
  <c r="T50" i="12" s="1"/>
  <c r="D50" i="12"/>
  <c r="AB49" i="12"/>
  <c r="AA49" i="12"/>
  <c r="U49" i="12"/>
  <c r="R49" i="12"/>
  <c r="S49" i="12" s="1"/>
  <c r="T49" i="12" s="1"/>
  <c r="D49" i="12"/>
  <c r="AB48" i="12"/>
  <c r="AA48" i="12"/>
  <c r="U48" i="12"/>
  <c r="R48" i="12"/>
  <c r="S48" i="12" s="1"/>
  <c r="T48" i="12" s="1"/>
  <c r="D48" i="12"/>
  <c r="AB47" i="12"/>
  <c r="AA47" i="12"/>
  <c r="U47" i="12"/>
  <c r="R47" i="12"/>
  <c r="S47" i="12" s="1"/>
  <c r="T47" i="12" s="1"/>
  <c r="D47" i="12"/>
  <c r="AB46" i="12"/>
  <c r="AA46" i="12"/>
  <c r="U46" i="12"/>
  <c r="R46" i="12"/>
  <c r="S46" i="12" s="1"/>
  <c r="T46" i="12" s="1"/>
  <c r="D46" i="12"/>
  <c r="AB45" i="12"/>
  <c r="AA45" i="12"/>
  <c r="U45" i="12"/>
  <c r="R45" i="12"/>
  <c r="S45" i="12" s="1"/>
  <c r="T45" i="12" s="1"/>
  <c r="D45" i="12"/>
  <c r="AB44" i="12"/>
  <c r="AA44" i="12"/>
  <c r="U44" i="12"/>
  <c r="R44" i="12"/>
  <c r="S44" i="12" s="1"/>
  <c r="T44" i="12" s="1"/>
  <c r="D44" i="12"/>
  <c r="AB43" i="12"/>
  <c r="AA43" i="12"/>
  <c r="U43" i="12"/>
  <c r="R43" i="12"/>
  <c r="S43" i="12" s="1"/>
  <c r="T43" i="12" s="1"/>
  <c r="D43" i="12"/>
  <c r="AB42" i="12"/>
  <c r="AA42" i="12"/>
  <c r="U42" i="12"/>
  <c r="R42" i="12"/>
  <c r="S42" i="12" s="1"/>
  <c r="T42" i="12" s="1"/>
  <c r="D42" i="12"/>
  <c r="AB41" i="12"/>
  <c r="AA41" i="12"/>
  <c r="U41" i="12"/>
  <c r="R41" i="12"/>
  <c r="S41" i="12" s="1"/>
  <c r="T41" i="12" s="1"/>
  <c r="D41" i="12"/>
  <c r="AB40" i="12"/>
  <c r="AA40" i="12"/>
  <c r="U40" i="12"/>
  <c r="R40" i="12"/>
  <c r="S40" i="12" s="1"/>
  <c r="T40" i="12" s="1"/>
  <c r="D40" i="12"/>
  <c r="AB39" i="12"/>
  <c r="AA39" i="12"/>
  <c r="U39" i="12"/>
  <c r="R39" i="12"/>
  <c r="S39" i="12" s="1"/>
  <c r="T39" i="12" s="1"/>
  <c r="D39" i="12"/>
  <c r="AB38" i="12"/>
  <c r="AA38" i="12"/>
  <c r="U38" i="12"/>
  <c r="R38" i="12"/>
  <c r="S38" i="12" s="1"/>
  <c r="T38" i="12" s="1"/>
  <c r="D38" i="12"/>
  <c r="AB37" i="12"/>
  <c r="AA37" i="12"/>
  <c r="U37" i="12"/>
  <c r="R37" i="12"/>
  <c r="S37" i="12" s="1"/>
  <c r="T37" i="12" s="1"/>
  <c r="D37" i="12"/>
  <c r="AB36" i="12"/>
  <c r="AA36" i="12"/>
  <c r="U36" i="12"/>
  <c r="R36" i="12"/>
  <c r="S36" i="12" s="1"/>
  <c r="T36" i="12" s="1"/>
  <c r="D36" i="12"/>
  <c r="AB35" i="12"/>
  <c r="AA35" i="12"/>
  <c r="U35" i="12"/>
  <c r="R35" i="12"/>
  <c r="S35" i="12" s="1"/>
  <c r="T35" i="12" s="1"/>
  <c r="D35" i="12"/>
  <c r="AB34" i="12"/>
  <c r="AA34" i="12"/>
  <c r="U34" i="12"/>
  <c r="R34" i="12"/>
  <c r="S34" i="12" s="1"/>
  <c r="T34" i="12" s="1"/>
  <c r="D34" i="12"/>
  <c r="AB33" i="12"/>
  <c r="AA33" i="12"/>
  <c r="U33" i="12"/>
  <c r="R33" i="12"/>
  <c r="S33" i="12" s="1"/>
  <c r="T33" i="12" s="1"/>
  <c r="D33" i="12"/>
  <c r="AB32" i="12"/>
  <c r="AA32" i="12"/>
  <c r="U32" i="12"/>
  <c r="R32" i="12"/>
  <c r="S32" i="12" s="1"/>
  <c r="T32" i="12" s="1"/>
  <c r="D32" i="12"/>
  <c r="AB31" i="12"/>
  <c r="AA31" i="12"/>
  <c r="U31" i="12"/>
  <c r="R31" i="12"/>
  <c r="S31" i="12" s="1"/>
  <c r="T31" i="12" s="1"/>
  <c r="D31" i="12"/>
  <c r="AB30" i="12"/>
  <c r="AA30" i="12"/>
  <c r="U30" i="12"/>
  <c r="R30" i="12"/>
  <c r="S30" i="12" s="1"/>
  <c r="T30" i="12" s="1"/>
  <c r="D30" i="12"/>
  <c r="AB29" i="12"/>
  <c r="AA29" i="12"/>
  <c r="U29" i="12"/>
  <c r="R29" i="12"/>
  <c r="S29" i="12" s="1"/>
  <c r="T29" i="12" s="1"/>
  <c r="D29" i="12"/>
  <c r="AB28" i="12"/>
  <c r="AA28" i="12"/>
  <c r="U28" i="12"/>
  <c r="R28" i="12"/>
  <c r="S28" i="12" s="1"/>
  <c r="T28" i="12" s="1"/>
  <c r="D28" i="12"/>
  <c r="AB27" i="12"/>
  <c r="AA27" i="12"/>
  <c r="U27" i="12"/>
  <c r="R27" i="12"/>
  <c r="S27" i="12" s="1"/>
  <c r="T27" i="12" s="1"/>
  <c r="D27" i="12"/>
  <c r="AB26" i="12"/>
  <c r="AA26" i="12"/>
  <c r="U26" i="12"/>
  <c r="R26" i="12"/>
  <c r="S26" i="12" s="1"/>
  <c r="T26" i="12" s="1"/>
  <c r="D26" i="12"/>
  <c r="AB25" i="12"/>
  <c r="AA25" i="12"/>
  <c r="U25" i="12"/>
  <c r="R25" i="12"/>
  <c r="S25" i="12" s="1"/>
  <c r="T25" i="12" s="1"/>
  <c r="D25" i="12"/>
  <c r="AB24" i="12"/>
  <c r="AA24" i="12"/>
  <c r="U24" i="12"/>
  <c r="R24" i="12"/>
  <c r="S24" i="12" s="1"/>
  <c r="T24" i="12" s="1"/>
  <c r="D24" i="12"/>
  <c r="AB23" i="12"/>
  <c r="AA23" i="12"/>
  <c r="U23" i="12"/>
  <c r="R23" i="12"/>
  <c r="S23" i="12" s="1"/>
  <c r="T23" i="12" s="1"/>
  <c r="D23" i="12"/>
  <c r="AB22" i="12"/>
  <c r="AA22" i="12"/>
  <c r="U22" i="12"/>
  <c r="R22" i="12"/>
  <c r="S22" i="12" s="1"/>
  <c r="T22" i="12" s="1"/>
  <c r="D22" i="12"/>
  <c r="AB21" i="12"/>
  <c r="AA21" i="12"/>
  <c r="U21" i="12"/>
  <c r="R21" i="12"/>
  <c r="S21" i="12" s="1"/>
  <c r="T21" i="12" s="1"/>
  <c r="D21" i="12"/>
  <c r="AB20" i="12"/>
  <c r="AA20" i="12"/>
  <c r="U20" i="12"/>
  <c r="R20" i="12"/>
  <c r="S20" i="12" s="1"/>
  <c r="T20" i="12" s="1"/>
  <c r="D20" i="12"/>
  <c r="AB19" i="12"/>
  <c r="AA19" i="12"/>
  <c r="U19" i="12"/>
  <c r="R19" i="12"/>
  <c r="S19" i="12" s="1"/>
  <c r="T19" i="12" s="1"/>
  <c r="D19" i="12"/>
  <c r="AB18" i="12"/>
  <c r="AA18" i="12"/>
  <c r="U18" i="12"/>
  <c r="R18" i="12"/>
  <c r="S18" i="12" s="1"/>
  <c r="T18" i="12" s="1"/>
  <c r="D18" i="12"/>
  <c r="AB17" i="12"/>
  <c r="AA17" i="12"/>
  <c r="U17" i="12"/>
  <c r="R17" i="12"/>
  <c r="S17" i="12" s="1"/>
  <c r="T17" i="12" s="1"/>
  <c r="D17" i="12"/>
  <c r="AB16" i="12"/>
  <c r="AA16" i="12"/>
  <c r="U16" i="12"/>
  <c r="R16" i="12"/>
  <c r="S16" i="12" s="1"/>
  <c r="T16" i="12" s="1"/>
  <c r="D16" i="12"/>
  <c r="AB15" i="12"/>
  <c r="AA15" i="12"/>
  <c r="U15" i="12"/>
  <c r="R15" i="12"/>
  <c r="S15" i="12" s="1"/>
  <c r="T15" i="12" s="1"/>
  <c r="D15" i="12"/>
  <c r="AB14" i="12"/>
  <c r="AA14" i="12"/>
  <c r="U14" i="12"/>
  <c r="R14" i="12"/>
  <c r="S14" i="12" s="1"/>
  <c r="T14" i="12" s="1"/>
  <c r="D14" i="12"/>
  <c r="AB13" i="12"/>
  <c r="AA13" i="12"/>
  <c r="U13" i="12"/>
  <c r="R13" i="12"/>
  <c r="S13" i="12" s="1"/>
  <c r="T13" i="12" s="1"/>
  <c r="D13" i="12"/>
  <c r="AB12" i="12"/>
  <c r="AA12" i="12"/>
  <c r="U12" i="12"/>
  <c r="R12" i="12"/>
  <c r="S12" i="12" s="1"/>
  <c r="T12" i="12" s="1"/>
  <c r="D12" i="12"/>
  <c r="AB11" i="12"/>
  <c r="AA11" i="12"/>
  <c r="U11" i="12"/>
  <c r="R11" i="12"/>
  <c r="S11" i="12" s="1"/>
  <c r="T11" i="12" s="1"/>
  <c r="D11" i="12"/>
  <c r="AB10" i="12"/>
  <c r="AA10" i="12"/>
  <c r="U10" i="12"/>
  <c r="R10" i="12"/>
  <c r="S10" i="12" s="1"/>
  <c r="T10" i="12" s="1"/>
  <c r="D10" i="12"/>
  <c r="AB9" i="12"/>
  <c r="AA9" i="12"/>
  <c r="U9" i="12"/>
  <c r="R9" i="12"/>
  <c r="S9" i="12" s="1"/>
  <c r="T9" i="12" s="1"/>
  <c r="D9" i="12"/>
  <c r="AA8" i="12"/>
  <c r="C73" i="13" s="1"/>
  <c r="J59" i="20" s="1"/>
  <c r="U8" i="12"/>
  <c r="R8" i="12"/>
  <c r="S8" i="12" s="1"/>
  <c r="T8" i="12" s="1"/>
  <c r="D8" i="12"/>
  <c r="Q39" i="10"/>
  <c r="E10" i="13" s="1"/>
  <c r="O39" i="10"/>
  <c r="M39" i="10"/>
  <c r="E9" i="13" s="1"/>
  <c r="K39" i="10"/>
  <c r="I39" i="10"/>
  <c r="E8" i="13" s="1"/>
  <c r="G39" i="10"/>
  <c r="E39" i="10"/>
  <c r="E7" i="13" s="1"/>
  <c r="C39" i="10"/>
  <c r="P38" i="10"/>
  <c r="L38" i="10"/>
  <c r="H38" i="10"/>
  <c r="D38" i="10"/>
  <c r="B38" i="10"/>
  <c r="P37" i="10"/>
  <c r="L37" i="10"/>
  <c r="H37" i="10"/>
  <c r="D37" i="10"/>
  <c r="B37" i="10"/>
  <c r="P36" i="10"/>
  <c r="L36" i="10"/>
  <c r="H36" i="10"/>
  <c r="D36" i="10"/>
  <c r="B36" i="10"/>
  <c r="P35" i="10"/>
  <c r="L35" i="10"/>
  <c r="H35" i="10"/>
  <c r="D35" i="10"/>
  <c r="B35" i="10"/>
  <c r="P34" i="10"/>
  <c r="L34" i="10"/>
  <c r="H34" i="10"/>
  <c r="D34" i="10"/>
  <c r="B34" i="10"/>
  <c r="P33" i="10"/>
  <c r="L33" i="10"/>
  <c r="H33" i="10"/>
  <c r="D33" i="10"/>
  <c r="B33" i="10"/>
  <c r="P32" i="10"/>
  <c r="L32" i="10"/>
  <c r="H32" i="10"/>
  <c r="D32" i="10"/>
  <c r="B32" i="10"/>
  <c r="P31" i="10"/>
  <c r="L31" i="10"/>
  <c r="H31" i="10"/>
  <c r="D31" i="10"/>
  <c r="B31" i="10"/>
  <c r="P30" i="10"/>
  <c r="L30" i="10"/>
  <c r="H30" i="10"/>
  <c r="D30" i="10"/>
  <c r="B30" i="10"/>
  <c r="P29" i="10"/>
  <c r="L29" i="10"/>
  <c r="H29" i="10"/>
  <c r="D29" i="10"/>
  <c r="B29" i="10"/>
  <c r="P28" i="10"/>
  <c r="L28" i="10"/>
  <c r="H28" i="10"/>
  <c r="D28" i="10"/>
  <c r="B28" i="10"/>
  <c r="P27" i="10"/>
  <c r="L27" i="10"/>
  <c r="H27" i="10"/>
  <c r="D27" i="10"/>
  <c r="B27" i="10"/>
  <c r="P26" i="10"/>
  <c r="L26" i="10"/>
  <c r="H26" i="10"/>
  <c r="D26" i="10"/>
  <c r="B26" i="10"/>
  <c r="P25" i="10"/>
  <c r="L25" i="10"/>
  <c r="H25" i="10"/>
  <c r="D25" i="10"/>
  <c r="B25" i="10"/>
  <c r="P24" i="10"/>
  <c r="L24" i="10"/>
  <c r="H24" i="10"/>
  <c r="D24" i="10"/>
  <c r="B24" i="10"/>
  <c r="P23" i="10"/>
  <c r="L23" i="10"/>
  <c r="H23" i="10"/>
  <c r="D23" i="10"/>
  <c r="B23" i="10"/>
  <c r="P22" i="10"/>
  <c r="L22" i="10"/>
  <c r="H22" i="10"/>
  <c r="D22" i="10"/>
  <c r="B22" i="10"/>
  <c r="P21" i="10"/>
  <c r="L21" i="10"/>
  <c r="H21" i="10"/>
  <c r="D21" i="10"/>
  <c r="B21" i="10"/>
  <c r="P20" i="10"/>
  <c r="L20" i="10"/>
  <c r="H20" i="10"/>
  <c r="D20" i="10"/>
  <c r="B20" i="10"/>
  <c r="P19" i="10"/>
  <c r="L19" i="10"/>
  <c r="H19" i="10"/>
  <c r="D19" i="10"/>
  <c r="B19" i="10"/>
  <c r="P18" i="10"/>
  <c r="L18" i="10"/>
  <c r="H18" i="10"/>
  <c r="D18" i="10"/>
  <c r="B18" i="10"/>
  <c r="P17" i="10"/>
  <c r="L17" i="10"/>
  <c r="H17" i="10"/>
  <c r="D17" i="10"/>
  <c r="B17" i="10"/>
  <c r="P16" i="10"/>
  <c r="L16" i="10"/>
  <c r="H16" i="10"/>
  <c r="D16" i="10"/>
  <c r="B16" i="10"/>
  <c r="P15" i="10"/>
  <c r="L15" i="10"/>
  <c r="H15" i="10"/>
  <c r="D15" i="10"/>
  <c r="B15" i="10"/>
  <c r="P14" i="10"/>
  <c r="L14" i="10"/>
  <c r="H14" i="10"/>
  <c r="D14" i="10"/>
  <c r="B14" i="10"/>
  <c r="P13" i="10"/>
  <c r="L13" i="10"/>
  <c r="H13" i="10"/>
  <c r="D13" i="10"/>
  <c r="B13" i="10"/>
  <c r="P12" i="10"/>
  <c r="L12" i="10"/>
  <c r="H12" i="10"/>
  <c r="D12" i="10"/>
  <c r="B12" i="10"/>
  <c r="P11" i="10"/>
  <c r="L11" i="10"/>
  <c r="H11" i="10"/>
  <c r="D11" i="10"/>
  <c r="B11" i="10"/>
  <c r="P10" i="10"/>
  <c r="L10" i="10"/>
  <c r="H10" i="10"/>
  <c r="D10" i="10"/>
  <c r="B10" i="10"/>
  <c r="P9" i="10"/>
  <c r="L9" i="10"/>
  <c r="H9" i="10"/>
  <c r="D9" i="10"/>
  <c r="B9" i="10"/>
  <c r="R8" i="10"/>
  <c r="P8" i="10"/>
  <c r="P39" i="10" s="1"/>
  <c r="D10" i="13" s="1"/>
  <c r="N8" i="10"/>
  <c r="L8" i="10"/>
  <c r="L39" i="10" s="1"/>
  <c r="D9" i="13" s="1"/>
  <c r="H8" i="10"/>
  <c r="D8" i="10"/>
  <c r="B8" i="10"/>
  <c r="O6" i="10"/>
  <c r="K6" i="10"/>
  <c r="G6" i="10"/>
  <c r="C6" i="10"/>
  <c r="I38" i="9"/>
  <c r="H38" i="9"/>
  <c r="Q37" i="9"/>
  <c r="O37" i="9"/>
  <c r="J37" i="9"/>
  <c r="F37" i="9"/>
  <c r="N37" i="9" s="1"/>
  <c r="Q36" i="9"/>
  <c r="O36" i="9"/>
  <c r="J36" i="9"/>
  <c r="F36" i="9"/>
  <c r="N36" i="9" s="1"/>
  <c r="Q35" i="9"/>
  <c r="O35" i="9"/>
  <c r="J35" i="9"/>
  <c r="F35" i="9"/>
  <c r="N35" i="9" s="1"/>
  <c r="Q34" i="9"/>
  <c r="O34" i="9"/>
  <c r="J34" i="9"/>
  <c r="F34" i="9"/>
  <c r="N34" i="9" s="1"/>
  <c r="Q33" i="9"/>
  <c r="O33" i="9"/>
  <c r="J33" i="9"/>
  <c r="F33" i="9"/>
  <c r="N33" i="9" s="1"/>
  <c r="Q32" i="9"/>
  <c r="O32" i="9"/>
  <c r="J32" i="9"/>
  <c r="F32" i="9"/>
  <c r="N32" i="9" s="1"/>
  <c r="Q31" i="9"/>
  <c r="O31" i="9"/>
  <c r="J31" i="9"/>
  <c r="F31" i="9"/>
  <c r="N31" i="9" s="1"/>
  <c r="Q30" i="9"/>
  <c r="O30" i="9"/>
  <c r="J30" i="9"/>
  <c r="F30" i="9"/>
  <c r="N30" i="9" s="1"/>
  <c r="Q29" i="9"/>
  <c r="O29" i="9"/>
  <c r="J29" i="9"/>
  <c r="F29" i="9"/>
  <c r="N29" i="9" s="1"/>
  <c r="Q28" i="9"/>
  <c r="O28" i="9"/>
  <c r="J28" i="9"/>
  <c r="F28" i="9"/>
  <c r="N28" i="9" s="1"/>
  <c r="Q27" i="9"/>
  <c r="O27" i="9"/>
  <c r="J27" i="9"/>
  <c r="F27" i="9"/>
  <c r="N27" i="9" s="1"/>
  <c r="Q26" i="9"/>
  <c r="O26" i="9"/>
  <c r="J26" i="9"/>
  <c r="F26" i="9"/>
  <c r="N26" i="9" s="1"/>
  <c r="Q25" i="9"/>
  <c r="O25" i="9"/>
  <c r="J25" i="9"/>
  <c r="F25" i="9"/>
  <c r="N25" i="9" s="1"/>
  <c r="Q24" i="9"/>
  <c r="O24" i="9"/>
  <c r="J24" i="9"/>
  <c r="F24" i="9"/>
  <c r="N24" i="9" s="1"/>
  <c r="Q23" i="9"/>
  <c r="O23" i="9"/>
  <c r="J23" i="9"/>
  <c r="F23" i="9"/>
  <c r="N23" i="9" s="1"/>
  <c r="Q22" i="9"/>
  <c r="O22" i="9"/>
  <c r="J22" i="9"/>
  <c r="F22" i="9"/>
  <c r="N22" i="9" s="1"/>
  <c r="Q21" i="9"/>
  <c r="O21" i="9"/>
  <c r="D11" i="3" s="1"/>
  <c r="G11" i="3" s="1"/>
  <c r="H11" i="3" s="1"/>
  <c r="J21" i="9"/>
  <c r="F21" i="9"/>
  <c r="N21" i="9" s="1"/>
  <c r="Q20" i="9"/>
  <c r="O20" i="9"/>
  <c r="J20" i="9"/>
  <c r="F20" i="9"/>
  <c r="N20" i="9" s="1"/>
  <c r="Q19" i="9"/>
  <c r="O19" i="9"/>
  <c r="J19" i="9"/>
  <c r="F19" i="9"/>
  <c r="N19" i="9" s="1"/>
  <c r="Q18" i="9"/>
  <c r="O18" i="9"/>
  <c r="J18" i="9"/>
  <c r="F18" i="9"/>
  <c r="N18" i="9" s="1"/>
  <c r="Q17" i="9"/>
  <c r="O17" i="9"/>
  <c r="J17" i="9"/>
  <c r="F17" i="9"/>
  <c r="N17" i="9" s="1"/>
  <c r="Q16" i="9"/>
  <c r="O16" i="9"/>
  <c r="J16" i="9"/>
  <c r="F16" i="9"/>
  <c r="N16" i="9" s="1"/>
  <c r="Q15" i="9"/>
  <c r="O15" i="9"/>
  <c r="J15" i="9"/>
  <c r="F15" i="9"/>
  <c r="N15" i="9" s="1"/>
  <c r="Q14" i="9"/>
  <c r="O14" i="9"/>
  <c r="J14" i="9"/>
  <c r="F14" i="9"/>
  <c r="N14" i="9" s="1"/>
  <c r="Q13" i="9"/>
  <c r="O13" i="9"/>
  <c r="J13" i="9"/>
  <c r="F13" i="9"/>
  <c r="N13" i="9" s="1"/>
  <c r="Q12" i="9"/>
  <c r="O12" i="9"/>
  <c r="J12" i="9"/>
  <c r="F12" i="9"/>
  <c r="N12" i="9" s="1"/>
  <c r="Q11" i="9"/>
  <c r="O11" i="9"/>
  <c r="J11" i="9"/>
  <c r="F11" i="9"/>
  <c r="N11" i="9" s="1"/>
  <c r="Q10" i="9"/>
  <c r="O10" i="9"/>
  <c r="J10" i="9"/>
  <c r="F10" i="9"/>
  <c r="N10" i="9" s="1"/>
  <c r="Q9" i="9"/>
  <c r="O9" i="9"/>
  <c r="J9" i="9"/>
  <c r="F9" i="9"/>
  <c r="N9" i="9" s="1"/>
  <c r="Q8" i="9"/>
  <c r="O8" i="9"/>
  <c r="J8" i="9"/>
  <c r="F8" i="9"/>
  <c r="N8" i="9" s="1"/>
  <c r="Q7" i="9"/>
  <c r="O7" i="9"/>
  <c r="J7" i="9"/>
  <c r="F7" i="9"/>
  <c r="I38" i="8"/>
  <c r="L10" i="2" s="1"/>
  <c r="H38" i="8"/>
  <c r="K10" i="2" s="1"/>
  <c r="Q37" i="8"/>
  <c r="O37" i="8"/>
  <c r="J37" i="8"/>
  <c r="F37" i="8"/>
  <c r="N37" i="8" s="1"/>
  <c r="Q36" i="8"/>
  <c r="O36" i="8"/>
  <c r="J36" i="8"/>
  <c r="F36" i="8"/>
  <c r="N36" i="8" s="1"/>
  <c r="Q35" i="8"/>
  <c r="O35" i="8"/>
  <c r="J35" i="8"/>
  <c r="F35" i="8"/>
  <c r="N35" i="8" s="1"/>
  <c r="Q34" i="8"/>
  <c r="O34" i="8"/>
  <c r="J34" i="8"/>
  <c r="F34" i="8"/>
  <c r="Q33" i="8"/>
  <c r="O33" i="8"/>
  <c r="O38" i="8" s="1"/>
  <c r="N33" i="8"/>
  <c r="J33" i="8"/>
  <c r="J38" i="8" s="1"/>
  <c r="L27" i="17" s="1"/>
  <c r="F33" i="8"/>
  <c r="Q32" i="8"/>
  <c r="O32" i="8"/>
  <c r="J32" i="8"/>
  <c r="F32" i="8"/>
  <c r="N32" i="8" s="1"/>
  <c r="Q31" i="8"/>
  <c r="O31" i="8"/>
  <c r="J31" i="8"/>
  <c r="F31" i="8"/>
  <c r="N31" i="8" s="1"/>
  <c r="Q30" i="8"/>
  <c r="O30" i="8"/>
  <c r="J30" i="8"/>
  <c r="F30" i="8"/>
  <c r="N30" i="8" s="1"/>
  <c r="Q29" i="8"/>
  <c r="O29" i="8"/>
  <c r="J29" i="8"/>
  <c r="F29" i="8"/>
  <c r="N29" i="8" s="1"/>
  <c r="Q28" i="8"/>
  <c r="O28" i="8"/>
  <c r="J28" i="8"/>
  <c r="F28" i="8"/>
  <c r="N28" i="8" s="1"/>
  <c r="Q27" i="8"/>
  <c r="O27" i="8"/>
  <c r="J27" i="8"/>
  <c r="F27" i="8"/>
  <c r="N27" i="8" s="1"/>
  <c r="Q26" i="8"/>
  <c r="O26" i="8"/>
  <c r="J26" i="8"/>
  <c r="F26" i="8"/>
  <c r="N26" i="8" s="1"/>
  <c r="Q25" i="8"/>
  <c r="O25" i="8"/>
  <c r="J25" i="8"/>
  <c r="F25" i="8"/>
  <c r="N25" i="8" s="1"/>
  <c r="Q24" i="8"/>
  <c r="O24" i="8"/>
  <c r="J24" i="8"/>
  <c r="F24" i="8"/>
  <c r="N24" i="8" s="1"/>
  <c r="Q23" i="8"/>
  <c r="O23" i="8"/>
  <c r="J23" i="8"/>
  <c r="F23" i="8"/>
  <c r="N23" i="8" s="1"/>
  <c r="Q22" i="8"/>
  <c r="O22" i="8"/>
  <c r="J22" i="8"/>
  <c r="F22" i="8"/>
  <c r="N22" i="8" s="1"/>
  <c r="Q21" i="8"/>
  <c r="O21" i="8"/>
  <c r="J21" i="8"/>
  <c r="F21" i="8"/>
  <c r="N21" i="8" s="1"/>
  <c r="Q20" i="8"/>
  <c r="O20" i="8"/>
  <c r="J20" i="8"/>
  <c r="F20" i="8"/>
  <c r="N20" i="8" s="1"/>
  <c r="Q19" i="8"/>
  <c r="O19" i="8"/>
  <c r="J19" i="8"/>
  <c r="F19" i="8"/>
  <c r="N19" i="8" s="1"/>
  <c r="Q18" i="8"/>
  <c r="O18" i="8"/>
  <c r="J18" i="8"/>
  <c r="F18" i="8"/>
  <c r="N18" i="8" s="1"/>
  <c r="Q17" i="8"/>
  <c r="O17" i="8"/>
  <c r="J17" i="8"/>
  <c r="F17" i="8"/>
  <c r="N17" i="8" s="1"/>
  <c r="Q16" i="8"/>
  <c r="O16" i="8"/>
  <c r="J16" i="8"/>
  <c r="F16" i="8"/>
  <c r="N16" i="8" s="1"/>
  <c r="Q15" i="8"/>
  <c r="O15" i="8"/>
  <c r="J15" i="8"/>
  <c r="F15" i="8"/>
  <c r="N15" i="8" s="1"/>
  <c r="Q14" i="8"/>
  <c r="O14" i="8"/>
  <c r="J14" i="8"/>
  <c r="F14" i="8"/>
  <c r="N14" i="8" s="1"/>
  <c r="Q13" i="8"/>
  <c r="O13" i="8"/>
  <c r="J13" i="8"/>
  <c r="F13" i="8"/>
  <c r="N13" i="8" s="1"/>
  <c r="Q12" i="8"/>
  <c r="O12" i="8"/>
  <c r="J12" i="8"/>
  <c r="F12" i="8"/>
  <c r="N12" i="8" s="1"/>
  <c r="Q11" i="8"/>
  <c r="O11" i="8"/>
  <c r="J11" i="8"/>
  <c r="F11" i="8"/>
  <c r="N11" i="8" s="1"/>
  <c r="Q10" i="8"/>
  <c r="O10" i="8"/>
  <c r="J10" i="8"/>
  <c r="F10" i="8"/>
  <c r="N10" i="8" s="1"/>
  <c r="Q9" i="8"/>
  <c r="O9" i="8"/>
  <c r="J9" i="8"/>
  <c r="F9" i="8"/>
  <c r="N9" i="8" s="1"/>
  <c r="Q8" i="8"/>
  <c r="O8" i="8"/>
  <c r="J8" i="8"/>
  <c r="F8" i="8"/>
  <c r="N8" i="8" s="1"/>
  <c r="Q7" i="8"/>
  <c r="O7" i="8"/>
  <c r="J7" i="8"/>
  <c r="K7" i="8" s="1"/>
  <c r="F7" i="8"/>
  <c r="I38" i="7"/>
  <c r="H38" i="7"/>
  <c r="Q37" i="7"/>
  <c r="O37" i="7"/>
  <c r="J37" i="7"/>
  <c r="F37" i="7"/>
  <c r="N37" i="7" s="1"/>
  <c r="Q36" i="7"/>
  <c r="O36" i="7"/>
  <c r="J36" i="7"/>
  <c r="F36" i="7"/>
  <c r="N36" i="7" s="1"/>
  <c r="Q35" i="7"/>
  <c r="O35" i="7"/>
  <c r="J35" i="7"/>
  <c r="F35" i="7"/>
  <c r="N35" i="7" s="1"/>
  <c r="Q34" i="7"/>
  <c r="O34" i="7"/>
  <c r="J34" i="7"/>
  <c r="F34" i="7"/>
  <c r="N34" i="7" s="1"/>
  <c r="Q33" i="7"/>
  <c r="O33" i="7"/>
  <c r="J33" i="7"/>
  <c r="F33" i="7"/>
  <c r="N33" i="7" s="1"/>
  <c r="Q32" i="7"/>
  <c r="O32" i="7"/>
  <c r="J32" i="7"/>
  <c r="F32" i="7"/>
  <c r="N32" i="7" s="1"/>
  <c r="Q31" i="7"/>
  <c r="O31" i="7"/>
  <c r="J31" i="7"/>
  <c r="F31" i="7"/>
  <c r="N31" i="7" s="1"/>
  <c r="Q30" i="7"/>
  <c r="O30" i="7"/>
  <c r="J30" i="7"/>
  <c r="F30" i="7"/>
  <c r="N30" i="7" s="1"/>
  <c r="Q29" i="7"/>
  <c r="O29" i="7"/>
  <c r="J29" i="7"/>
  <c r="F29" i="7"/>
  <c r="N29" i="7" s="1"/>
  <c r="Q28" i="7"/>
  <c r="O28" i="7"/>
  <c r="J28" i="7"/>
  <c r="F28" i="7"/>
  <c r="N28" i="7" s="1"/>
  <c r="Q27" i="7"/>
  <c r="O27" i="7"/>
  <c r="J27" i="7"/>
  <c r="F27" i="7"/>
  <c r="N27" i="7" s="1"/>
  <c r="Q26" i="7"/>
  <c r="O26" i="7"/>
  <c r="N26" i="7"/>
  <c r="J26" i="7"/>
  <c r="F26" i="7"/>
  <c r="Q25" i="7"/>
  <c r="O25" i="7"/>
  <c r="J25" i="7"/>
  <c r="F25" i="7"/>
  <c r="N25" i="7" s="1"/>
  <c r="Q24" i="7"/>
  <c r="O24" i="7"/>
  <c r="J24" i="7"/>
  <c r="F24" i="7"/>
  <c r="N24" i="7" s="1"/>
  <c r="Q23" i="7"/>
  <c r="O23" i="7"/>
  <c r="J23" i="7"/>
  <c r="F23" i="7"/>
  <c r="N23" i="7" s="1"/>
  <c r="Q22" i="7"/>
  <c r="O22" i="7"/>
  <c r="J22" i="7"/>
  <c r="F22" i="7"/>
  <c r="N22" i="7" s="1"/>
  <c r="Q21" i="7"/>
  <c r="O21" i="7"/>
  <c r="J21" i="7"/>
  <c r="F21" i="7"/>
  <c r="N21" i="7" s="1"/>
  <c r="Q20" i="7"/>
  <c r="O20" i="7"/>
  <c r="J20" i="7"/>
  <c r="F20" i="7"/>
  <c r="N20" i="7" s="1"/>
  <c r="Q19" i="7"/>
  <c r="O19" i="7"/>
  <c r="J19" i="7"/>
  <c r="F19" i="7"/>
  <c r="N19" i="7" s="1"/>
  <c r="Q18" i="7"/>
  <c r="O18" i="7"/>
  <c r="J18" i="7"/>
  <c r="F18" i="7"/>
  <c r="N18" i="7" s="1"/>
  <c r="Q17" i="7"/>
  <c r="O17" i="7"/>
  <c r="J17" i="7"/>
  <c r="F17" i="7"/>
  <c r="N17" i="7" s="1"/>
  <c r="Q16" i="7"/>
  <c r="O16" i="7"/>
  <c r="J16" i="7"/>
  <c r="F16" i="7"/>
  <c r="N16" i="7" s="1"/>
  <c r="Q15" i="7"/>
  <c r="O15" i="7"/>
  <c r="J15" i="7"/>
  <c r="F15" i="7"/>
  <c r="N15" i="7" s="1"/>
  <c r="Q14" i="7"/>
  <c r="O14" i="7"/>
  <c r="J14" i="7"/>
  <c r="F14" i="7"/>
  <c r="N14" i="7" s="1"/>
  <c r="Q13" i="7"/>
  <c r="O13" i="7"/>
  <c r="J13" i="7"/>
  <c r="F13" i="7"/>
  <c r="N13" i="7" s="1"/>
  <c r="Q12" i="7"/>
  <c r="O12" i="7"/>
  <c r="J12" i="7"/>
  <c r="F12" i="7"/>
  <c r="N12" i="7" s="1"/>
  <c r="Q11" i="7"/>
  <c r="O11" i="7"/>
  <c r="J11" i="7"/>
  <c r="F11" i="7"/>
  <c r="N11" i="7" s="1"/>
  <c r="Q10" i="7"/>
  <c r="O10" i="7"/>
  <c r="J10" i="7"/>
  <c r="F10" i="7"/>
  <c r="N10" i="7" s="1"/>
  <c r="Q9" i="7"/>
  <c r="O9" i="7"/>
  <c r="J9" i="7"/>
  <c r="F9" i="7"/>
  <c r="N9" i="7" s="1"/>
  <c r="Q8" i="7"/>
  <c r="O8" i="7"/>
  <c r="J8" i="7"/>
  <c r="F8" i="7"/>
  <c r="N8" i="7" s="1"/>
  <c r="Q7" i="7"/>
  <c r="O7" i="7"/>
  <c r="O38" i="7" s="1"/>
  <c r="J7" i="7"/>
  <c r="F7" i="7"/>
  <c r="I38" i="6"/>
  <c r="H38" i="6"/>
  <c r="Q37" i="6"/>
  <c r="O37" i="6"/>
  <c r="J37" i="6"/>
  <c r="F37" i="6"/>
  <c r="N37" i="6" s="1"/>
  <c r="Q36" i="6"/>
  <c r="O36" i="6"/>
  <c r="J36" i="6"/>
  <c r="F36" i="6"/>
  <c r="N36" i="6" s="1"/>
  <c r="Q35" i="6"/>
  <c r="O35" i="6"/>
  <c r="J35" i="6"/>
  <c r="F35" i="6"/>
  <c r="N35" i="6" s="1"/>
  <c r="Q34" i="6"/>
  <c r="O34" i="6"/>
  <c r="J34" i="6"/>
  <c r="F34" i="6"/>
  <c r="N34" i="6" s="1"/>
  <c r="Q33" i="6"/>
  <c r="O33" i="6"/>
  <c r="J33" i="6"/>
  <c r="F33" i="6"/>
  <c r="N33" i="6" s="1"/>
  <c r="Q32" i="6"/>
  <c r="O32" i="6"/>
  <c r="J32" i="6"/>
  <c r="F32" i="6"/>
  <c r="N32" i="6" s="1"/>
  <c r="Q31" i="6"/>
  <c r="O31" i="6"/>
  <c r="J31" i="6"/>
  <c r="F31" i="6"/>
  <c r="N31" i="6" s="1"/>
  <c r="Q30" i="6"/>
  <c r="O30" i="6"/>
  <c r="J30" i="6"/>
  <c r="F30" i="6"/>
  <c r="N30" i="6" s="1"/>
  <c r="Q29" i="6"/>
  <c r="O29" i="6"/>
  <c r="J29" i="6"/>
  <c r="F29" i="6"/>
  <c r="N29" i="6" s="1"/>
  <c r="Q28" i="6"/>
  <c r="O28" i="6"/>
  <c r="J28" i="6"/>
  <c r="F28" i="6"/>
  <c r="N28" i="6" s="1"/>
  <c r="Q27" i="6"/>
  <c r="O27" i="6"/>
  <c r="J27" i="6"/>
  <c r="F27" i="6"/>
  <c r="N27" i="6" s="1"/>
  <c r="Q26" i="6"/>
  <c r="O26" i="6"/>
  <c r="J26" i="6"/>
  <c r="F26" i="6"/>
  <c r="N26" i="6" s="1"/>
  <c r="Q25" i="6"/>
  <c r="O25" i="6"/>
  <c r="J25" i="6"/>
  <c r="F25" i="6"/>
  <c r="N25" i="6" s="1"/>
  <c r="Q24" i="6"/>
  <c r="O24" i="6"/>
  <c r="J24" i="6"/>
  <c r="F24" i="6"/>
  <c r="N24" i="6" s="1"/>
  <c r="Q23" i="6"/>
  <c r="O23" i="6"/>
  <c r="J23" i="6"/>
  <c r="F23" i="6"/>
  <c r="N23" i="6" s="1"/>
  <c r="Q22" i="6"/>
  <c r="O22" i="6"/>
  <c r="J22" i="6"/>
  <c r="F22" i="6"/>
  <c r="N22" i="6" s="1"/>
  <c r="Q21" i="6"/>
  <c r="O21" i="6"/>
  <c r="J21" i="6"/>
  <c r="F21" i="6"/>
  <c r="N21" i="6" s="1"/>
  <c r="Q20" i="6"/>
  <c r="O20" i="6"/>
  <c r="J20" i="6"/>
  <c r="F20" i="6"/>
  <c r="N20" i="6" s="1"/>
  <c r="Q19" i="6"/>
  <c r="O19" i="6"/>
  <c r="N19" i="6"/>
  <c r="J19" i="6"/>
  <c r="F19" i="6"/>
  <c r="Q18" i="6"/>
  <c r="O18" i="6"/>
  <c r="J18" i="6"/>
  <c r="F18" i="6"/>
  <c r="N18" i="6" s="1"/>
  <c r="Q17" i="6"/>
  <c r="O17" i="6"/>
  <c r="J17" i="6"/>
  <c r="F17" i="6"/>
  <c r="N17" i="6" s="1"/>
  <c r="Q16" i="6"/>
  <c r="O16" i="6"/>
  <c r="J16" i="6"/>
  <c r="F16" i="6"/>
  <c r="N16" i="6" s="1"/>
  <c r="Q15" i="6"/>
  <c r="O15" i="6"/>
  <c r="J15" i="6"/>
  <c r="F15" i="6"/>
  <c r="N15" i="6" s="1"/>
  <c r="Q14" i="6"/>
  <c r="O14" i="6"/>
  <c r="J14" i="6"/>
  <c r="F14" i="6"/>
  <c r="N14" i="6" s="1"/>
  <c r="Q13" i="6"/>
  <c r="O13" i="6"/>
  <c r="J13" i="6"/>
  <c r="F13" i="6"/>
  <c r="N13" i="6" s="1"/>
  <c r="Q12" i="6"/>
  <c r="O12" i="6"/>
  <c r="J12" i="6"/>
  <c r="F12" i="6"/>
  <c r="N12" i="6" s="1"/>
  <c r="Q11" i="6"/>
  <c r="O11" i="6"/>
  <c r="J11" i="6"/>
  <c r="F11" i="6"/>
  <c r="N11" i="6" s="1"/>
  <c r="Q10" i="6"/>
  <c r="O10" i="6"/>
  <c r="J10" i="6"/>
  <c r="F10" i="6"/>
  <c r="N10" i="6" s="1"/>
  <c r="Q9" i="6"/>
  <c r="O9" i="6"/>
  <c r="J9" i="6"/>
  <c r="F9" i="6"/>
  <c r="N9" i="6" s="1"/>
  <c r="Q8" i="6"/>
  <c r="O8" i="6"/>
  <c r="J8" i="6"/>
  <c r="F8" i="6"/>
  <c r="N8" i="6" s="1"/>
  <c r="Q7" i="6"/>
  <c r="O38" i="6"/>
  <c r="J7" i="6"/>
  <c r="F7" i="6"/>
  <c r="E43" i="4"/>
  <c r="E42" i="4"/>
  <c r="E41" i="4"/>
  <c r="E40" i="4"/>
  <c r="C9" i="4"/>
  <c r="K22" i="3"/>
  <c r="H22" i="3"/>
  <c r="E22" i="3"/>
  <c r="N21" i="3"/>
  <c r="D21" i="3"/>
  <c r="C21" i="3"/>
  <c r="B21" i="3"/>
  <c r="N20" i="3"/>
  <c r="D20" i="3"/>
  <c r="C20" i="3"/>
  <c r="B20" i="3"/>
  <c r="N19" i="3"/>
  <c r="D19" i="3"/>
  <c r="C19" i="3"/>
  <c r="B19" i="3"/>
  <c r="N18" i="3"/>
  <c r="D18" i="3"/>
  <c r="C18" i="3"/>
  <c r="B18" i="3"/>
  <c r="N17" i="3"/>
  <c r="D17" i="3"/>
  <c r="C17" i="3"/>
  <c r="B17" i="3"/>
  <c r="F12" i="3"/>
  <c r="F11" i="3"/>
  <c r="E11" i="3"/>
  <c r="F10" i="3"/>
  <c r="E10" i="3"/>
  <c r="D10" i="3"/>
  <c r="G10" i="3" s="1"/>
  <c r="H10" i="3" s="1"/>
  <c r="F9" i="3"/>
  <c r="E9" i="3"/>
  <c r="D9" i="3"/>
  <c r="G9" i="3" s="1"/>
  <c r="H9" i="3" s="1"/>
  <c r="F8" i="3"/>
  <c r="E8" i="3"/>
  <c r="D8" i="3"/>
  <c r="G8" i="3" s="1"/>
  <c r="H8" i="3" s="1"/>
  <c r="F7" i="3"/>
  <c r="E7" i="3"/>
  <c r="E12" i="3" s="1"/>
  <c r="C74" i="13"/>
  <c r="M59" i="20" s="1"/>
  <c r="C69" i="13"/>
  <c r="D57" i="20" s="1"/>
  <c r="C67" i="13"/>
  <c r="C66" i="13"/>
  <c r="G57" i="20" s="1"/>
  <c r="C65" i="13"/>
  <c r="J53" i="20" s="1"/>
  <c r="C64" i="13"/>
  <c r="G53" i="20" s="1"/>
  <c r="C63" i="13"/>
  <c r="D53" i="20" s="1"/>
  <c r="C62" i="13"/>
  <c r="D58" i="13"/>
  <c r="C58" i="13"/>
  <c r="D57" i="13"/>
  <c r="C57" i="13"/>
  <c r="D56" i="13"/>
  <c r="C56" i="13"/>
  <c r="D55" i="13"/>
  <c r="C55" i="13"/>
  <c r="D54" i="13"/>
  <c r="C54" i="13"/>
  <c r="E49" i="13"/>
  <c r="F49" i="13" s="1"/>
  <c r="D49" i="13"/>
  <c r="C49" i="13"/>
  <c r="E48" i="13"/>
  <c r="D48" i="13"/>
  <c r="C48" i="13"/>
  <c r="G43" i="13"/>
  <c r="E43" i="13"/>
  <c r="D43" i="13"/>
  <c r="C43" i="13"/>
  <c r="G42" i="13"/>
  <c r="E42" i="13"/>
  <c r="D42" i="13"/>
  <c r="C42" i="13"/>
  <c r="G41" i="13"/>
  <c r="E41" i="13"/>
  <c r="F41" i="13" s="1"/>
  <c r="D41" i="13"/>
  <c r="C41" i="13"/>
  <c r="G40" i="13"/>
  <c r="E40" i="13"/>
  <c r="D40" i="13"/>
  <c r="C40" i="13"/>
  <c r="G39" i="13"/>
  <c r="E39" i="13"/>
  <c r="D39" i="13"/>
  <c r="C39" i="13"/>
  <c r="G38" i="13"/>
  <c r="E38" i="13"/>
  <c r="D38" i="13"/>
  <c r="C38" i="13"/>
  <c r="G37" i="13"/>
  <c r="E37" i="13"/>
  <c r="F37" i="13" s="1"/>
  <c r="D37" i="13"/>
  <c r="C37" i="13"/>
  <c r="G36" i="13"/>
  <c r="E36" i="13"/>
  <c r="D36" i="13"/>
  <c r="C36" i="13"/>
  <c r="G35" i="13"/>
  <c r="E35" i="13"/>
  <c r="D35" i="13"/>
  <c r="C35" i="13"/>
  <c r="G34" i="13"/>
  <c r="E34" i="13"/>
  <c r="D34" i="13"/>
  <c r="C34" i="13"/>
  <c r="G33" i="13"/>
  <c r="E33" i="13"/>
  <c r="D33" i="13"/>
  <c r="C33" i="13"/>
  <c r="C29" i="13"/>
  <c r="B29" i="13"/>
  <c r="C28" i="13"/>
  <c r="B28" i="13"/>
  <c r="C27" i="13"/>
  <c r="B27" i="13"/>
  <c r="C26" i="13"/>
  <c r="B26" i="13"/>
  <c r="C25" i="13"/>
  <c r="B25" i="13"/>
  <c r="C24" i="13"/>
  <c r="B24" i="13"/>
  <c r="C23" i="13"/>
  <c r="B23" i="13"/>
  <c r="C22" i="13"/>
  <c r="B22" i="13"/>
  <c r="C21" i="13"/>
  <c r="B21" i="13"/>
  <c r="C20" i="13"/>
  <c r="B20" i="13"/>
  <c r="C19" i="13"/>
  <c r="B19" i="13"/>
  <c r="C18" i="13"/>
  <c r="B18" i="13"/>
  <c r="C17" i="13"/>
  <c r="B17" i="13"/>
  <c r="C16" i="13"/>
  <c r="B16" i="13"/>
  <c r="C15" i="13"/>
  <c r="B15" i="13"/>
  <c r="C10" i="13"/>
  <c r="B10" i="13"/>
  <c r="C9" i="13"/>
  <c r="B9" i="13"/>
  <c r="C8" i="13"/>
  <c r="B8" i="13"/>
  <c r="C7" i="13"/>
  <c r="B7" i="13"/>
  <c r="B20" i="2"/>
  <c r="B19" i="2"/>
  <c r="B18" i="2"/>
  <c r="B17" i="2"/>
  <c r="B16" i="2"/>
  <c r="I12" i="2"/>
  <c r="G12" i="2"/>
  <c r="L11" i="2"/>
  <c r="K11" i="2"/>
  <c r="I11" i="2"/>
  <c r="G11" i="2"/>
  <c r="I10" i="2"/>
  <c r="G10" i="2"/>
  <c r="L9" i="2"/>
  <c r="K9" i="2"/>
  <c r="I9" i="2"/>
  <c r="G9" i="2"/>
  <c r="I8" i="2"/>
  <c r="G8" i="2"/>
  <c r="L7" i="2"/>
  <c r="K7" i="2"/>
  <c r="I7" i="2"/>
  <c r="G7" i="2"/>
  <c r="P53" i="20"/>
  <c r="M53" i="20"/>
  <c r="P47" i="20"/>
  <c r="M47" i="20"/>
  <c r="J47" i="20"/>
  <c r="G47" i="20"/>
  <c r="D47" i="20"/>
  <c r="D43" i="20"/>
  <c r="I38" i="5"/>
  <c r="H38" i="5"/>
  <c r="Q37" i="5"/>
  <c r="O37" i="5"/>
  <c r="J37" i="5"/>
  <c r="F37" i="5"/>
  <c r="N37" i="5" s="1"/>
  <c r="Q36" i="5"/>
  <c r="O36" i="5"/>
  <c r="J36" i="5"/>
  <c r="F36" i="5"/>
  <c r="N36" i="5" s="1"/>
  <c r="Q35" i="5"/>
  <c r="O35" i="5"/>
  <c r="J35" i="5"/>
  <c r="F35" i="5"/>
  <c r="N35" i="5" s="1"/>
  <c r="Q34" i="5"/>
  <c r="O34" i="5"/>
  <c r="J34" i="5"/>
  <c r="F34" i="5"/>
  <c r="N34" i="5" s="1"/>
  <c r="Q33" i="5"/>
  <c r="O33" i="5"/>
  <c r="J33" i="5"/>
  <c r="F33" i="5"/>
  <c r="N33" i="5" s="1"/>
  <c r="Q32" i="5"/>
  <c r="O32" i="5"/>
  <c r="J32" i="5"/>
  <c r="F32" i="5"/>
  <c r="N32" i="5" s="1"/>
  <c r="Q31" i="5"/>
  <c r="O31" i="5"/>
  <c r="J31" i="5"/>
  <c r="F31" i="5"/>
  <c r="N31" i="5" s="1"/>
  <c r="Q30" i="5"/>
  <c r="O30" i="5"/>
  <c r="J30" i="5"/>
  <c r="F30" i="5"/>
  <c r="N30" i="5" s="1"/>
  <c r="Q29" i="5"/>
  <c r="O29" i="5"/>
  <c r="J29" i="5"/>
  <c r="F29" i="5"/>
  <c r="N29" i="5" s="1"/>
  <c r="Q28" i="5"/>
  <c r="O28" i="5"/>
  <c r="J28" i="5"/>
  <c r="F28" i="5"/>
  <c r="N28" i="5" s="1"/>
  <c r="Q27" i="5"/>
  <c r="O27" i="5"/>
  <c r="J27" i="5"/>
  <c r="F27" i="5"/>
  <c r="N27" i="5" s="1"/>
  <c r="Q26" i="5"/>
  <c r="O26" i="5"/>
  <c r="J26" i="5"/>
  <c r="F26" i="5"/>
  <c r="N26" i="5" s="1"/>
  <c r="Q25" i="5"/>
  <c r="O25" i="5"/>
  <c r="J25" i="5"/>
  <c r="F25" i="5"/>
  <c r="N25" i="5" s="1"/>
  <c r="Q24" i="5"/>
  <c r="O24" i="5"/>
  <c r="J24" i="5"/>
  <c r="F24" i="5"/>
  <c r="N24" i="5" s="1"/>
  <c r="Q23" i="5"/>
  <c r="O23" i="5"/>
  <c r="J23" i="5"/>
  <c r="F23" i="5"/>
  <c r="N23" i="5" s="1"/>
  <c r="Q22" i="5"/>
  <c r="O22" i="5"/>
  <c r="J22" i="5"/>
  <c r="F22" i="5"/>
  <c r="N22" i="5" s="1"/>
  <c r="Q21" i="5"/>
  <c r="O21" i="5"/>
  <c r="J21" i="5"/>
  <c r="F21" i="5"/>
  <c r="N21" i="5" s="1"/>
  <c r="Q20" i="5"/>
  <c r="O20" i="5"/>
  <c r="J20" i="5"/>
  <c r="F20" i="5"/>
  <c r="N20" i="5" s="1"/>
  <c r="Q19" i="5"/>
  <c r="O19" i="5"/>
  <c r="J19" i="5"/>
  <c r="F19" i="5"/>
  <c r="N19" i="5" s="1"/>
  <c r="Q18" i="5"/>
  <c r="O18" i="5"/>
  <c r="J18" i="5"/>
  <c r="F18" i="5"/>
  <c r="N18" i="5" s="1"/>
  <c r="Q17" i="5"/>
  <c r="O17" i="5"/>
  <c r="J17" i="5"/>
  <c r="F17" i="5"/>
  <c r="N17" i="5" s="1"/>
  <c r="Q16" i="5"/>
  <c r="O16" i="5"/>
  <c r="J16" i="5"/>
  <c r="F16" i="5"/>
  <c r="N16" i="5" s="1"/>
  <c r="Q15" i="5"/>
  <c r="O15" i="5"/>
  <c r="J15" i="5"/>
  <c r="F15" i="5"/>
  <c r="N15" i="5" s="1"/>
  <c r="Q14" i="5"/>
  <c r="O14" i="5"/>
  <c r="J14" i="5"/>
  <c r="F14" i="5"/>
  <c r="N14" i="5" s="1"/>
  <c r="Q13" i="5"/>
  <c r="O13" i="5"/>
  <c r="J13" i="5"/>
  <c r="F13" i="5"/>
  <c r="N13" i="5" s="1"/>
  <c r="Q12" i="5"/>
  <c r="O12" i="5"/>
  <c r="J12" i="5"/>
  <c r="F12" i="5"/>
  <c r="N12" i="5" s="1"/>
  <c r="Q11" i="5"/>
  <c r="O11" i="5"/>
  <c r="J11" i="5"/>
  <c r="F11" i="5"/>
  <c r="N11" i="5" s="1"/>
  <c r="Q10" i="5"/>
  <c r="O10" i="5"/>
  <c r="J10" i="5"/>
  <c r="F10" i="5"/>
  <c r="N10" i="5" s="1"/>
  <c r="Q9" i="5"/>
  <c r="O9" i="5"/>
  <c r="J9" i="5"/>
  <c r="F9" i="5"/>
  <c r="N9" i="5" s="1"/>
  <c r="Q8" i="5"/>
  <c r="O8" i="5"/>
  <c r="J8" i="5"/>
  <c r="F8" i="5"/>
  <c r="N8" i="5" s="1"/>
  <c r="Q7" i="5"/>
  <c r="J7" i="5"/>
  <c r="F7" i="5"/>
  <c r="F35" i="13" l="1"/>
  <c r="F48" i="13"/>
  <c r="F36" i="13"/>
  <c r="AB8" i="12"/>
  <c r="F33" i="13"/>
  <c r="F43" i="13"/>
  <c r="F42" i="13"/>
  <c r="F39" i="13"/>
  <c r="F40" i="13"/>
  <c r="F38" i="13"/>
  <c r="F34" i="13"/>
  <c r="V12" i="11"/>
  <c r="V16" i="11"/>
  <c r="V14" i="11"/>
  <c r="V10" i="11"/>
  <c r="P49" i="20"/>
  <c r="V15" i="11"/>
  <c r="V13" i="11"/>
  <c r="V9" i="11"/>
  <c r="V11" i="11"/>
  <c r="V8" i="11"/>
  <c r="V7" i="11"/>
  <c r="H39" i="10"/>
  <c r="D8" i="13" s="1"/>
  <c r="F8" i="13" s="1"/>
  <c r="D39" i="10"/>
  <c r="D7" i="13" s="1"/>
  <c r="C31" i="19"/>
  <c r="C71" i="13"/>
  <c r="G59" i="20" s="1"/>
  <c r="C70" i="13"/>
  <c r="F7" i="13"/>
  <c r="E11" i="13"/>
  <c r="G43" i="20"/>
  <c r="R38" i="10"/>
  <c r="N38" i="10"/>
  <c r="F38" i="10"/>
  <c r="J38" i="10"/>
  <c r="N37" i="10"/>
  <c r="F37" i="10"/>
  <c r="J37" i="10"/>
  <c r="R37" i="10"/>
  <c r="J36" i="10"/>
  <c r="N36" i="10"/>
  <c r="R36" i="10"/>
  <c r="F36" i="10"/>
  <c r="J35" i="10"/>
  <c r="N35" i="10"/>
  <c r="R35" i="10"/>
  <c r="F35" i="10"/>
  <c r="F34" i="10"/>
  <c r="J34" i="10"/>
  <c r="N34" i="10"/>
  <c r="R34" i="10"/>
  <c r="F33" i="10"/>
  <c r="J33" i="10"/>
  <c r="N33" i="10"/>
  <c r="R33" i="10"/>
  <c r="R32" i="10"/>
  <c r="N32" i="10"/>
  <c r="J32" i="10"/>
  <c r="F32" i="10"/>
  <c r="J31" i="10"/>
  <c r="N31" i="10"/>
  <c r="R31" i="10"/>
  <c r="F31" i="10"/>
  <c r="N30" i="10"/>
  <c r="J30" i="10"/>
  <c r="F30" i="10"/>
  <c r="R30" i="10"/>
  <c r="F29" i="10"/>
  <c r="N29" i="10"/>
  <c r="R29" i="10"/>
  <c r="J29" i="10"/>
  <c r="F28" i="10"/>
  <c r="J28" i="10"/>
  <c r="N28" i="10"/>
  <c r="R28" i="10"/>
  <c r="F27" i="10"/>
  <c r="J27" i="10"/>
  <c r="R27" i="10"/>
  <c r="N27" i="10"/>
  <c r="J26" i="10"/>
  <c r="R26" i="10"/>
  <c r="N26" i="10"/>
  <c r="F26" i="10"/>
  <c r="J25" i="10"/>
  <c r="N25" i="10"/>
  <c r="R25" i="10"/>
  <c r="F25" i="10"/>
  <c r="R24" i="10"/>
  <c r="N24" i="10"/>
  <c r="J24" i="10"/>
  <c r="F24" i="10"/>
  <c r="R23" i="10"/>
  <c r="N23" i="10"/>
  <c r="J23" i="10"/>
  <c r="F23" i="10"/>
  <c r="R22" i="10"/>
  <c r="N22" i="10"/>
  <c r="J22" i="10"/>
  <c r="F22" i="10"/>
  <c r="N21" i="10"/>
  <c r="J21" i="10"/>
  <c r="F21" i="10"/>
  <c r="R21" i="10"/>
  <c r="R20" i="10"/>
  <c r="F20" i="10"/>
  <c r="J20" i="10"/>
  <c r="N20" i="10"/>
  <c r="F19" i="10"/>
  <c r="J19" i="10"/>
  <c r="R19" i="10"/>
  <c r="N19" i="10"/>
  <c r="N18" i="10"/>
  <c r="F18" i="10"/>
  <c r="J18" i="10"/>
  <c r="R18" i="10"/>
  <c r="R17" i="10"/>
  <c r="J17" i="10"/>
  <c r="F17" i="10"/>
  <c r="N17" i="10"/>
  <c r="R16" i="10"/>
  <c r="N16" i="10"/>
  <c r="J16" i="10"/>
  <c r="F16" i="10"/>
  <c r="F15" i="10"/>
  <c r="J15" i="10"/>
  <c r="N15" i="10"/>
  <c r="R15" i="10"/>
  <c r="J14" i="10"/>
  <c r="R14" i="10"/>
  <c r="N14" i="10"/>
  <c r="F14" i="10"/>
  <c r="R13" i="10"/>
  <c r="N13" i="10"/>
  <c r="J13" i="10"/>
  <c r="F13" i="10"/>
  <c r="J12" i="10"/>
  <c r="F12" i="10"/>
  <c r="R12" i="10"/>
  <c r="N12" i="10"/>
  <c r="J11" i="10"/>
  <c r="F11" i="10"/>
  <c r="R11" i="10"/>
  <c r="N11" i="10"/>
  <c r="R10" i="10"/>
  <c r="N10" i="10"/>
  <c r="J10" i="10"/>
  <c r="F10" i="10"/>
  <c r="R9" i="10"/>
  <c r="N9" i="10"/>
  <c r="J9" i="10"/>
  <c r="F9" i="10"/>
  <c r="F8" i="10"/>
  <c r="J8" i="10"/>
  <c r="L37" i="17"/>
  <c r="J11" i="2"/>
  <c r="J38" i="9"/>
  <c r="L34" i="17" s="1"/>
  <c r="K7" i="9"/>
  <c r="F38" i="9"/>
  <c r="L7" i="9"/>
  <c r="C19" i="19"/>
  <c r="N7" i="9"/>
  <c r="F38" i="8"/>
  <c r="N34" i="8"/>
  <c r="L30" i="17"/>
  <c r="J10" i="2"/>
  <c r="K8" i="8"/>
  <c r="L7" i="8"/>
  <c r="N7" i="8"/>
  <c r="L23" i="17"/>
  <c r="J9" i="2"/>
  <c r="K7" i="7"/>
  <c r="J38" i="7"/>
  <c r="L20" i="17" s="1"/>
  <c r="F38" i="7"/>
  <c r="L7" i="7"/>
  <c r="N7" i="7"/>
  <c r="M18" i="17"/>
  <c r="L8" i="2"/>
  <c r="L12" i="2" s="1"/>
  <c r="M17" i="17"/>
  <c r="K8" i="2"/>
  <c r="K12" i="2" s="1"/>
  <c r="N88" i="1" s="1"/>
  <c r="M16" i="17"/>
  <c r="J8" i="2"/>
  <c r="J38" i="6"/>
  <c r="M13" i="17" s="1"/>
  <c r="K7" i="6"/>
  <c r="L7" i="6"/>
  <c r="F38" i="6"/>
  <c r="C10" i="19"/>
  <c r="N7" i="6"/>
  <c r="D21" i="4"/>
  <c r="D19" i="4"/>
  <c r="D22" i="4"/>
  <c r="D20" i="4"/>
  <c r="D23" i="4"/>
  <c r="F21" i="3"/>
  <c r="G21" i="3"/>
  <c r="F20" i="3"/>
  <c r="G20" i="3"/>
  <c r="G19" i="3"/>
  <c r="F19" i="3"/>
  <c r="F18" i="3"/>
  <c r="G18" i="3"/>
  <c r="F17" i="3"/>
  <c r="G17" i="3"/>
  <c r="C68" i="13"/>
  <c r="M57" i="20" s="1"/>
  <c r="J57" i="20"/>
  <c r="H58" i="13"/>
  <c r="E58" i="13"/>
  <c r="I58" i="13"/>
  <c r="F58" i="13"/>
  <c r="I57" i="13"/>
  <c r="H57" i="13"/>
  <c r="F57" i="13"/>
  <c r="E57" i="13"/>
  <c r="F56" i="13"/>
  <c r="E56" i="13"/>
  <c r="H56" i="13"/>
  <c r="I56" i="13"/>
  <c r="H55" i="13"/>
  <c r="I55" i="13"/>
  <c r="E55" i="13"/>
  <c r="F55" i="13"/>
  <c r="H54" i="13"/>
  <c r="E54" i="13"/>
  <c r="I54" i="13"/>
  <c r="F54" i="13"/>
  <c r="D29" i="13"/>
  <c r="E29" i="13"/>
  <c r="I29" i="13"/>
  <c r="G29" i="13"/>
  <c r="G28" i="13"/>
  <c r="I28" i="13"/>
  <c r="D28" i="13"/>
  <c r="E28" i="13"/>
  <c r="D27" i="13"/>
  <c r="E27" i="13"/>
  <c r="I27" i="13"/>
  <c r="G27" i="13"/>
  <c r="D26" i="13"/>
  <c r="E26" i="13"/>
  <c r="G26" i="13"/>
  <c r="I26" i="13"/>
  <c r="E25" i="13"/>
  <c r="G25" i="13"/>
  <c r="I25" i="13"/>
  <c r="D25" i="13"/>
  <c r="F25" i="13" s="1"/>
  <c r="D24" i="13"/>
  <c r="E24" i="13"/>
  <c r="G24" i="13"/>
  <c r="I24" i="13"/>
  <c r="E23" i="13"/>
  <c r="G23" i="13"/>
  <c r="I23" i="13"/>
  <c r="D23" i="13"/>
  <c r="E22" i="13"/>
  <c r="F22" i="13" s="1"/>
  <c r="D22" i="13"/>
  <c r="I22" i="13"/>
  <c r="G22" i="13"/>
  <c r="E21" i="13"/>
  <c r="D21" i="13"/>
  <c r="I21" i="13"/>
  <c r="G21" i="13"/>
  <c r="G20" i="13"/>
  <c r="E20" i="13"/>
  <c r="D20" i="13"/>
  <c r="I20" i="13"/>
  <c r="E19" i="13"/>
  <c r="D19" i="13"/>
  <c r="G19" i="13"/>
  <c r="I19" i="13"/>
  <c r="I18" i="13"/>
  <c r="D18" i="13"/>
  <c r="E18" i="13"/>
  <c r="G18" i="13"/>
  <c r="E17" i="13"/>
  <c r="G17" i="13"/>
  <c r="I17" i="13"/>
  <c r="D17" i="13"/>
  <c r="D16" i="13"/>
  <c r="E16" i="13"/>
  <c r="G16" i="13"/>
  <c r="I16" i="13"/>
  <c r="E15" i="13"/>
  <c r="D15" i="13"/>
  <c r="I15" i="13"/>
  <c r="G15" i="13"/>
  <c r="S10" i="13"/>
  <c r="L10" i="13"/>
  <c r="N10" i="13"/>
  <c r="I10" i="13"/>
  <c r="T10" i="13" s="1"/>
  <c r="J10" i="13"/>
  <c r="Q10" i="13"/>
  <c r="K10" i="13"/>
  <c r="O10" i="13"/>
  <c r="R10" i="13"/>
  <c r="R9" i="13"/>
  <c r="S9" i="13"/>
  <c r="Q9" i="13"/>
  <c r="O9" i="13"/>
  <c r="N9" i="13"/>
  <c r="L9" i="13"/>
  <c r="K9" i="13"/>
  <c r="J9" i="13"/>
  <c r="I9" i="13"/>
  <c r="S8" i="13"/>
  <c r="R8" i="13"/>
  <c r="Q8" i="13"/>
  <c r="N8" i="13"/>
  <c r="L8" i="13"/>
  <c r="K8" i="13"/>
  <c r="J8" i="13"/>
  <c r="I8" i="13"/>
  <c r="T8" i="13" s="1"/>
  <c r="O8" i="13"/>
  <c r="I7" i="13"/>
  <c r="R7" i="13"/>
  <c r="Q7" i="13"/>
  <c r="O7" i="13"/>
  <c r="L7" i="13"/>
  <c r="S7" i="13"/>
  <c r="N7" i="13"/>
  <c r="K7" i="13"/>
  <c r="J7" i="13"/>
  <c r="D7" i="3"/>
  <c r="J38" i="5"/>
  <c r="K7" i="5"/>
  <c r="F38" i="5"/>
  <c r="L7" i="5"/>
  <c r="N7" i="5"/>
  <c r="C7" i="19"/>
  <c r="F10" i="13"/>
  <c r="F9" i="13"/>
  <c r="H26" i="13" l="1"/>
  <c r="H25" i="13"/>
  <c r="P8" i="13"/>
  <c r="G55" i="13"/>
  <c r="P10" i="13"/>
  <c r="F26" i="13"/>
  <c r="H22" i="13"/>
  <c r="G54" i="13"/>
  <c r="H16" i="13"/>
  <c r="H19" i="13"/>
  <c r="G22" i="3"/>
  <c r="F23" i="13"/>
  <c r="P59" i="20"/>
  <c r="R39" i="10"/>
  <c r="G10" i="13" s="1"/>
  <c r="H10" i="13" s="1"/>
  <c r="N39" i="10"/>
  <c r="G9" i="13" s="1"/>
  <c r="H9" i="13" s="1"/>
  <c r="T9" i="13" s="1"/>
  <c r="I19" i="3"/>
  <c r="J39" i="10"/>
  <c r="G8" i="13" s="1"/>
  <c r="H8" i="13" s="1"/>
  <c r="H23" i="13"/>
  <c r="F16" i="13"/>
  <c r="F19" i="13"/>
  <c r="F24" i="13"/>
  <c r="H24" i="13"/>
  <c r="F17" i="13"/>
  <c r="H17" i="13"/>
  <c r="D11" i="13"/>
  <c r="F11" i="13" s="1"/>
  <c r="C72" i="13"/>
  <c r="D59" i="20"/>
  <c r="J43" i="20"/>
  <c r="F39" i="10"/>
  <c r="G7" i="13" s="1"/>
  <c r="C33" i="19"/>
  <c r="E20" i="2"/>
  <c r="F20" i="2"/>
  <c r="K8" i="9"/>
  <c r="N38" i="9"/>
  <c r="L35" i="17"/>
  <c r="E11" i="2"/>
  <c r="M7" i="9"/>
  <c r="P7" i="9" s="1"/>
  <c r="L8" i="9"/>
  <c r="E10" i="2"/>
  <c r="L28" i="17"/>
  <c r="N38" i="8"/>
  <c r="E19" i="2"/>
  <c r="F19" i="2"/>
  <c r="K9" i="8"/>
  <c r="M7" i="8"/>
  <c r="P7" i="8" s="1"/>
  <c r="L8" i="8"/>
  <c r="E18" i="2"/>
  <c r="F18" i="2"/>
  <c r="P7" i="7"/>
  <c r="K8" i="7"/>
  <c r="N38" i="7"/>
  <c r="L21" i="17"/>
  <c r="E9" i="2"/>
  <c r="M7" i="7"/>
  <c r="L8" i="7"/>
  <c r="E17" i="2"/>
  <c r="F17" i="2"/>
  <c r="K8" i="6"/>
  <c r="M7" i="6"/>
  <c r="P7" i="6" s="1"/>
  <c r="L8" i="6"/>
  <c r="N38" i="6"/>
  <c r="M14" i="17"/>
  <c r="E8" i="2"/>
  <c r="F22" i="3"/>
  <c r="I17" i="3"/>
  <c r="I11" i="13"/>
  <c r="P7" i="13"/>
  <c r="O11" i="13"/>
  <c r="M7" i="13"/>
  <c r="L11" i="13"/>
  <c r="J7" i="2"/>
  <c r="M9" i="17"/>
  <c r="G7" i="3"/>
  <c r="H7" i="3" s="1"/>
  <c r="D12" i="3"/>
  <c r="G12" i="3" s="1"/>
  <c r="H12" i="3" s="1"/>
  <c r="M6" i="17"/>
  <c r="C22" i="19"/>
  <c r="K8" i="5"/>
  <c r="C24" i="2"/>
  <c r="E7" i="2"/>
  <c r="M7" i="17"/>
  <c r="M7" i="5"/>
  <c r="P7" i="5" s="1"/>
  <c r="L8" i="5"/>
  <c r="D24" i="2"/>
  <c r="G58" i="13"/>
  <c r="G57" i="13"/>
  <c r="G56" i="13"/>
  <c r="I21" i="3"/>
  <c r="I20" i="3"/>
  <c r="I18" i="3"/>
  <c r="M10" i="13"/>
  <c r="P9" i="13"/>
  <c r="M9" i="13"/>
  <c r="M8" i="13"/>
  <c r="R11" i="13"/>
  <c r="Q11" i="13"/>
  <c r="S11" i="13"/>
  <c r="K11" i="13"/>
  <c r="J11" i="13"/>
  <c r="H29" i="13"/>
  <c r="F29" i="13"/>
  <c r="H28" i="13"/>
  <c r="F28" i="13"/>
  <c r="F27" i="13"/>
  <c r="H27" i="13"/>
  <c r="F21" i="13"/>
  <c r="H21" i="13"/>
  <c r="F20" i="13"/>
  <c r="H20" i="13"/>
  <c r="H18" i="13"/>
  <c r="F18" i="13"/>
  <c r="F15" i="13"/>
  <c r="H15" i="13"/>
  <c r="J19" i="3" l="1"/>
  <c r="M19" i="3"/>
  <c r="L19" i="3"/>
  <c r="P57" i="20"/>
  <c r="C80" i="13"/>
  <c r="D80" i="13" s="1"/>
  <c r="H7" i="13"/>
  <c r="T7" i="13" s="1"/>
  <c r="G11" i="13"/>
  <c r="K9" i="9"/>
  <c r="F45" i="16"/>
  <c r="M8" i="9"/>
  <c r="P8" i="9" s="1"/>
  <c r="L9" i="9"/>
  <c r="F44" i="16"/>
  <c r="K10" i="8"/>
  <c r="M8" i="8"/>
  <c r="P8" i="8" s="1"/>
  <c r="L9" i="8"/>
  <c r="K9" i="7"/>
  <c r="F43" i="16"/>
  <c r="M8" i="7"/>
  <c r="P8" i="7" s="1"/>
  <c r="L9" i="7"/>
  <c r="P8" i="6"/>
  <c r="K9" i="6"/>
  <c r="L9" i="6"/>
  <c r="M8" i="6"/>
  <c r="F42" i="16"/>
  <c r="J17" i="3"/>
  <c r="M17" i="3"/>
  <c r="I22" i="3"/>
  <c r="L17" i="3"/>
  <c r="J12" i="2"/>
  <c r="E16" i="2"/>
  <c r="F16" i="2"/>
  <c r="K9" i="5"/>
  <c r="C25" i="2"/>
  <c r="E12" i="2"/>
  <c r="F41" i="16"/>
  <c r="M8" i="5"/>
  <c r="P8" i="5" s="1"/>
  <c r="L9" i="5"/>
  <c r="D25" i="2"/>
  <c r="J21" i="3"/>
  <c r="L21" i="3"/>
  <c r="M21" i="3"/>
  <c r="M20" i="3"/>
  <c r="J20" i="3"/>
  <c r="L20" i="3"/>
  <c r="J18" i="3"/>
  <c r="L18" i="3"/>
  <c r="M18" i="3"/>
  <c r="P11" i="13"/>
  <c r="N11" i="13"/>
  <c r="M11" i="13"/>
  <c r="L22" i="3" l="1"/>
  <c r="H11" i="13"/>
  <c r="M43" i="20"/>
  <c r="K10" i="9"/>
  <c r="M9" i="9"/>
  <c r="P9" i="9" s="1"/>
  <c r="L10" i="9"/>
  <c r="K11" i="8"/>
  <c r="M9" i="8"/>
  <c r="P9" i="8" s="1"/>
  <c r="L10" i="8"/>
  <c r="K10" i="7"/>
  <c r="M9" i="7"/>
  <c r="P9" i="7" s="1"/>
  <c r="L10" i="7"/>
  <c r="P9" i="6"/>
  <c r="K10" i="6"/>
  <c r="M9" i="6"/>
  <c r="L10" i="6"/>
  <c r="M22" i="3"/>
  <c r="M49" i="20" s="1"/>
  <c r="J22" i="3"/>
  <c r="E88" i="1"/>
  <c r="D49" i="20"/>
  <c r="C26" i="2"/>
  <c r="K10" i="5"/>
  <c r="C21" i="19"/>
  <c r="K88" i="1"/>
  <c r="M9" i="5"/>
  <c r="P9" i="5" s="1"/>
  <c r="L10" i="5"/>
  <c r="D26" i="2"/>
  <c r="C79" i="13" l="1"/>
  <c r="D79" i="13" s="1"/>
  <c r="P43" i="20"/>
  <c r="K11" i="9"/>
  <c r="M10" i="9"/>
  <c r="P10" i="9" s="1"/>
  <c r="L11" i="9"/>
  <c r="K12" i="8"/>
  <c r="M10" i="8"/>
  <c r="P10" i="8" s="1"/>
  <c r="L11" i="8"/>
  <c r="K11" i="7"/>
  <c r="M10" i="7"/>
  <c r="P10" i="7" s="1"/>
  <c r="L11" i="7"/>
  <c r="K11" i="6"/>
  <c r="L11" i="6"/>
  <c r="M10" i="6"/>
  <c r="P10" i="6" s="1"/>
  <c r="C81" i="13"/>
  <c r="D81" i="13" s="1"/>
  <c r="J49" i="20"/>
  <c r="K11" i="5"/>
  <c r="C27" i="2"/>
  <c r="D27" i="2"/>
  <c r="M10" i="5"/>
  <c r="P10" i="5" s="1"/>
  <c r="L11" i="5"/>
  <c r="K12" i="9" l="1"/>
  <c r="M11" i="9"/>
  <c r="P11" i="9" s="1"/>
  <c r="L12" i="9"/>
  <c r="K13" i="8"/>
  <c r="M11" i="8"/>
  <c r="P11" i="8" s="1"/>
  <c r="L12" i="8"/>
  <c r="K12" i="7"/>
  <c r="M11" i="7"/>
  <c r="P11" i="7" s="1"/>
  <c r="L12" i="7"/>
  <c r="K12" i="6"/>
  <c r="L12" i="6"/>
  <c r="M11" i="6"/>
  <c r="P11" i="6" s="1"/>
  <c r="K12" i="5"/>
  <c r="C28" i="2"/>
  <c r="M11" i="5"/>
  <c r="P11" i="5" s="1"/>
  <c r="L12" i="5"/>
  <c r="D28" i="2"/>
  <c r="K13" i="9" l="1"/>
  <c r="M12" i="9"/>
  <c r="P12" i="9" s="1"/>
  <c r="L13" i="9"/>
  <c r="K14" i="8"/>
  <c r="M12" i="8"/>
  <c r="P12" i="8" s="1"/>
  <c r="L13" i="8"/>
  <c r="K13" i="7"/>
  <c r="M12" i="7"/>
  <c r="P12" i="7" s="1"/>
  <c r="L13" i="7"/>
  <c r="K13" i="6"/>
  <c r="L13" i="6"/>
  <c r="M12" i="6"/>
  <c r="P12" i="6" s="1"/>
  <c r="K13" i="5"/>
  <c r="C29" i="2"/>
  <c r="D29" i="2"/>
  <c r="M12" i="5"/>
  <c r="P12" i="5" s="1"/>
  <c r="L13" i="5"/>
  <c r="K14" i="9" l="1"/>
  <c r="M13" i="9"/>
  <c r="P13" i="9" s="1"/>
  <c r="L14" i="9"/>
  <c r="K15" i="8"/>
  <c r="M13" i="8"/>
  <c r="P13" i="8" s="1"/>
  <c r="L14" i="8"/>
  <c r="K14" i="7"/>
  <c r="M13" i="7"/>
  <c r="P13" i="7" s="1"/>
  <c r="L14" i="7"/>
  <c r="K14" i="6"/>
  <c r="P13" i="6"/>
  <c r="M13" i="6"/>
  <c r="L14" i="6"/>
  <c r="K14" i="5"/>
  <c r="C30" i="2"/>
  <c r="M13" i="5"/>
  <c r="P13" i="5" s="1"/>
  <c r="L14" i="5"/>
  <c r="D30" i="2"/>
  <c r="K15" i="9" l="1"/>
  <c r="M14" i="9"/>
  <c r="P14" i="9" s="1"/>
  <c r="L15" i="9"/>
  <c r="K16" i="8"/>
  <c r="M14" i="8"/>
  <c r="P14" i="8" s="1"/>
  <c r="L15" i="8"/>
  <c r="K15" i="7"/>
  <c r="M14" i="7"/>
  <c r="P14" i="7" s="1"/>
  <c r="L15" i="7"/>
  <c r="K15" i="6"/>
  <c r="P14" i="6"/>
  <c r="L15" i="6"/>
  <c r="M14" i="6"/>
  <c r="K15" i="5"/>
  <c r="C31" i="2"/>
  <c r="M14" i="5"/>
  <c r="P14" i="5" s="1"/>
  <c r="L15" i="5"/>
  <c r="D31" i="2"/>
  <c r="P15" i="9" l="1"/>
  <c r="K16" i="9"/>
  <c r="M15" i="9"/>
  <c r="L16" i="9"/>
  <c r="K17" i="8"/>
  <c r="M15" i="8"/>
  <c r="P15" i="8" s="1"/>
  <c r="L16" i="8"/>
  <c r="K16" i="7"/>
  <c r="M15" i="7"/>
  <c r="P15" i="7" s="1"/>
  <c r="L16" i="7"/>
  <c r="K16" i="6"/>
  <c r="M15" i="6"/>
  <c r="P15" i="6" s="1"/>
  <c r="L16" i="6"/>
  <c r="K16" i="5"/>
  <c r="C32" i="2"/>
  <c r="M15" i="5"/>
  <c r="P15" i="5" s="1"/>
  <c r="L16" i="5"/>
  <c r="D32" i="2"/>
  <c r="K17" i="9" l="1"/>
  <c r="M16" i="9"/>
  <c r="P16" i="9" s="1"/>
  <c r="L17" i="9"/>
  <c r="K18" i="8"/>
  <c r="M16" i="8"/>
  <c r="P16" i="8" s="1"/>
  <c r="L17" i="8"/>
  <c r="P16" i="7"/>
  <c r="K17" i="7"/>
  <c r="M16" i="7"/>
  <c r="L17" i="7"/>
  <c r="K17" i="6"/>
  <c r="M16" i="6"/>
  <c r="P16" i="6" s="1"/>
  <c r="L17" i="6"/>
  <c r="K17" i="5"/>
  <c r="C33" i="2"/>
  <c r="M16" i="5"/>
  <c r="P16" i="5" s="1"/>
  <c r="L17" i="5"/>
  <c r="D33" i="2"/>
  <c r="K18" i="9" l="1"/>
  <c r="M17" i="9"/>
  <c r="P17" i="9" s="1"/>
  <c r="L18" i="9"/>
  <c r="K19" i="8"/>
  <c r="M17" i="8"/>
  <c r="P17" i="8" s="1"/>
  <c r="L18" i="8"/>
  <c r="P17" i="7"/>
  <c r="K18" i="7"/>
  <c r="M17" i="7"/>
  <c r="L18" i="7"/>
  <c r="K18" i="6"/>
  <c r="M17" i="6"/>
  <c r="P17" i="6" s="1"/>
  <c r="L18" i="6"/>
  <c r="K18" i="5"/>
  <c r="C34" i="2"/>
  <c r="M17" i="5"/>
  <c r="P17" i="5" s="1"/>
  <c r="L18" i="5"/>
  <c r="D34" i="2"/>
  <c r="K19" i="9" l="1"/>
  <c r="M18" i="9"/>
  <c r="P18" i="9" s="1"/>
  <c r="L19" i="9"/>
  <c r="K20" i="8"/>
  <c r="M18" i="8"/>
  <c r="P18" i="8" s="1"/>
  <c r="L19" i="8"/>
  <c r="K19" i="7"/>
  <c r="M18" i="7"/>
  <c r="P18" i="7" s="1"/>
  <c r="L19" i="7"/>
  <c r="K19" i="6"/>
  <c r="M18" i="6"/>
  <c r="P18" i="6" s="1"/>
  <c r="L19" i="6"/>
  <c r="K19" i="5"/>
  <c r="C35" i="2"/>
  <c r="M18" i="5"/>
  <c r="P18" i="5" s="1"/>
  <c r="L19" i="5"/>
  <c r="D35" i="2"/>
  <c r="K20" i="9" l="1"/>
  <c r="M19" i="9"/>
  <c r="P19" i="9" s="1"/>
  <c r="L20" i="9"/>
  <c r="K21" i="8"/>
  <c r="M19" i="8"/>
  <c r="P19" i="8" s="1"/>
  <c r="L20" i="8"/>
  <c r="K20" i="7"/>
  <c r="M19" i="7"/>
  <c r="P19" i="7" s="1"/>
  <c r="L20" i="7"/>
  <c r="K20" i="6"/>
  <c r="M19" i="6"/>
  <c r="P19" i="6" s="1"/>
  <c r="L20" i="6"/>
  <c r="K20" i="5"/>
  <c r="C36" i="2"/>
  <c r="M19" i="5"/>
  <c r="P19" i="5" s="1"/>
  <c r="L20" i="5"/>
  <c r="D36" i="2"/>
  <c r="K21" i="9" l="1"/>
  <c r="M20" i="9"/>
  <c r="P20" i="9" s="1"/>
  <c r="L21" i="9"/>
  <c r="K22" i="8"/>
  <c r="M20" i="8"/>
  <c r="P20" i="8" s="1"/>
  <c r="L21" i="8"/>
  <c r="P20" i="7"/>
  <c r="K21" i="7"/>
  <c r="M20" i="7"/>
  <c r="L21" i="7"/>
  <c r="K21" i="6"/>
  <c r="M20" i="6"/>
  <c r="P20" i="6" s="1"/>
  <c r="L21" i="6"/>
  <c r="K21" i="5"/>
  <c r="C37" i="2"/>
  <c r="M20" i="5"/>
  <c r="P20" i="5" s="1"/>
  <c r="L21" i="5"/>
  <c r="D37" i="2"/>
  <c r="K22" i="9" l="1"/>
  <c r="M21" i="9"/>
  <c r="P21" i="9" s="1"/>
  <c r="L22" i="9"/>
  <c r="K23" i="8"/>
  <c r="M21" i="8"/>
  <c r="P21" i="8" s="1"/>
  <c r="L22" i="8"/>
  <c r="K22" i="7"/>
  <c r="M21" i="7"/>
  <c r="P21" i="7" s="1"/>
  <c r="L22" i="7"/>
  <c r="K22" i="6"/>
  <c r="M21" i="6"/>
  <c r="P21" i="6" s="1"/>
  <c r="L22" i="6"/>
  <c r="K22" i="5"/>
  <c r="C38" i="2"/>
  <c r="M21" i="5"/>
  <c r="P21" i="5" s="1"/>
  <c r="L22" i="5"/>
  <c r="D38" i="2"/>
  <c r="K23" i="9" l="1"/>
  <c r="M22" i="9"/>
  <c r="P22" i="9" s="1"/>
  <c r="L23" i="9"/>
  <c r="K24" i="8"/>
  <c r="M22" i="8"/>
  <c r="P22" i="8" s="1"/>
  <c r="L23" i="8"/>
  <c r="K23" i="7"/>
  <c r="M22" i="7"/>
  <c r="P22" i="7" s="1"/>
  <c r="L23" i="7"/>
  <c r="K23" i="6"/>
  <c r="M22" i="6"/>
  <c r="P22" i="6" s="1"/>
  <c r="L23" i="6"/>
  <c r="K23" i="5"/>
  <c r="C39" i="2"/>
  <c r="M22" i="5"/>
  <c r="P22" i="5" s="1"/>
  <c r="L23" i="5"/>
  <c r="D39" i="2"/>
  <c r="K24" i="9" l="1"/>
  <c r="M23" i="9"/>
  <c r="P23" i="9" s="1"/>
  <c r="L24" i="9"/>
  <c r="K25" i="8"/>
  <c r="M23" i="8"/>
  <c r="P23" i="8" s="1"/>
  <c r="L24" i="8"/>
  <c r="K24" i="7"/>
  <c r="M23" i="7"/>
  <c r="P23" i="7" s="1"/>
  <c r="L24" i="7"/>
  <c r="K24" i="6"/>
  <c r="L24" i="6"/>
  <c r="M23" i="6"/>
  <c r="P23" i="6" s="1"/>
  <c r="K24" i="5"/>
  <c r="C40" i="2"/>
  <c r="M23" i="5"/>
  <c r="P23" i="5" s="1"/>
  <c r="L24" i="5"/>
  <c r="D40" i="2"/>
  <c r="K25" i="9" l="1"/>
  <c r="M24" i="9"/>
  <c r="P24" i="9" s="1"/>
  <c r="L25" i="9"/>
  <c r="K26" i="8"/>
  <c r="M24" i="8"/>
  <c r="P24" i="8" s="1"/>
  <c r="L25" i="8"/>
  <c r="K25" i="7"/>
  <c r="M24" i="7"/>
  <c r="P24" i="7" s="1"/>
  <c r="L25" i="7"/>
  <c r="K25" i="6"/>
  <c r="M24" i="6"/>
  <c r="P24" i="6" s="1"/>
  <c r="L25" i="6"/>
  <c r="P24" i="5"/>
  <c r="K25" i="5"/>
  <c r="C41" i="2"/>
  <c r="M24" i="5"/>
  <c r="L25" i="5"/>
  <c r="D41" i="2"/>
  <c r="K26" i="9" l="1"/>
  <c r="M25" i="9"/>
  <c r="P25" i="9" s="1"/>
  <c r="L26" i="9"/>
  <c r="K27" i="8"/>
  <c r="M25" i="8"/>
  <c r="P25" i="8" s="1"/>
  <c r="L26" i="8"/>
  <c r="K26" i="7"/>
  <c r="M25" i="7"/>
  <c r="P25" i="7" s="1"/>
  <c r="L26" i="7"/>
  <c r="P25" i="6"/>
  <c r="K26" i="6"/>
  <c r="M25" i="6"/>
  <c r="L26" i="6"/>
  <c r="P25" i="5"/>
  <c r="K26" i="5"/>
  <c r="C42" i="2"/>
  <c r="M25" i="5"/>
  <c r="L26" i="5"/>
  <c r="D42" i="2"/>
  <c r="K27" i="9" l="1"/>
  <c r="M26" i="9"/>
  <c r="P26" i="9" s="1"/>
  <c r="L27" i="9"/>
  <c r="K28" i="8"/>
  <c r="M26" i="8"/>
  <c r="P26" i="8" s="1"/>
  <c r="L27" i="8"/>
  <c r="K27" i="7"/>
  <c r="M26" i="7"/>
  <c r="P26" i="7" s="1"/>
  <c r="L27" i="7"/>
  <c r="K27" i="6"/>
  <c r="M26" i="6"/>
  <c r="P26" i="6" s="1"/>
  <c r="L27" i="6"/>
  <c r="P26" i="5"/>
  <c r="C43" i="2"/>
  <c r="K27" i="5"/>
  <c r="M26" i="5"/>
  <c r="D43" i="2"/>
  <c r="L27" i="5"/>
  <c r="K28" i="9" l="1"/>
  <c r="M27" i="9"/>
  <c r="P27" i="9" s="1"/>
  <c r="L28" i="9"/>
  <c r="K29" i="8"/>
  <c r="M27" i="8"/>
  <c r="P27" i="8" s="1"/>
  <c r="L28" i="8"/>
  <c r="K28" i="7"/>
  <c r="M27" i="7"/>
  <c r="P27" i="7" s="1"/>
  <c r="L28" i="7"/>
  <c r="K28" i="6"/>
  <c r="L28" i="6"/>
  <c r="M27" i="6"/>
  <c r="P27" i="6" s="1"/>
  <c r="K28" i="5"/>
  <c r="C44" i="2"/>
  <c r="M27" i="5"/>
  <c r="P27" i="5" s="1"/>
  <c r="L28" i="5"/>
  <c r="D44" i="2"/>
  <c r="P28" i="9" l="1"/>
  <c r="K29" i="9"/>
  <c r="M28" i="9"/>
  <c r="L29" i="9"/>
  <c r="K30" i="8"/>
  <c r="M28" i="8"/>
  <c r="P28" i="8" s="1"/>
  <c r="L29" i="8"/>
  <c r="K29" i="7"/>
  <c r="M28" i="7"/>
  <c r="P28" i="7" s="1"/>
  <c r="L29" i="7"/>
  <c r="K29" i="6"/>
  <c r="M28" i="6"/>
  <c r="P28" i="6" s="1"/>
  <c r="L29" i="6"/>
  <c r="K29" i="5"/>
  <c r="C45" i="2"/>
  <c r="M28" i="5"/>
  <c r="P28" i="5" s="1"/>
  <c r="L29" i="5"/>
  <c r="D45" i="2"/>
  <c r="K30" i="9" l="1"/>
  <c r="M29" i="9"/>
  <c r="P29" i="9" s="1"/>
  <c r="L30" i="9"/>
  <c r="K31" i="8"/>
  <c r="M29" i="8"/>
  <c r="P29" i="8" s="1"/>
  <c r="L30" i="8"/>
  <c r="P29" i="7"/>
  <c r="K30" i="7"/>
  <c r="M29" i="7"/>
  <c r="L30" i="7"/>
  <c r="K30" i="6"/>
  <c r="M29" i="6"/>
  <c r="P29" i="6" s="1"/>
  <c r="L30" i="6"/>
  <c r="K30" i="5"/>
  <c r="C46" i="2"/>
  <c r="M29" i="5"/>
  <c r="P29" i="5" s="1"/>
  <c r="L30" i="5"/>
  <c r="D46" i="2"/>
  <c r="K31" i="9" l="1"/>
  <c r="M30" i="9"/>
  <c r="P30" i="9" s="1"/>
  <c r="L31" i="9"/>
  <c r="K32" i="8"/>
  <c r="M30" i="8"/>
  <c r="P30" i="8" s="1"/>
  <c r="L31" i="8"/>
  <c r="K31" i="7"/>
  <c r="M30" i="7"/>
  <c r="P30" i="7" s="1"/>
  <c r="L31" i="7"/>
  <c r="K31" i="6"/>
  <c r="L31" i="6"/>
  <c r="M30" i="6"/>
  <c r="P30" i="6" s="1"/>
  <c r="P30" i="5"/>
  <c r="K31" i="5"/>
  <c r="C47" i="2"/>
  <c r="M30" i="5"/>
  <c r="L31" i="5"/>
  <c r="D47" i="2"/>
  <c r="K32" i="9" l="1"/>
  <c r="M31" i="9"/>
  <c r="P31" i="9" s="1"/>
  <c r="L32" i="9"/>
  <c r="K33" i="8"/>
  <c r="M31" i="8"/>
  <c r="P31" i="8" s="1"/>
  <c r="L32" i="8"/>
  <c r="K32" i="7"/>
  <c r="M31" i="7"/>
  <c r="P31" i="7" s="1"/>
  <c r="L32" i="7"/>
  <c r="K32" i="6"/>
  <c r="M31" i="6"/>
  <c r="P31" i="6" s="1"/>
  <c r="L32" i="6"/>
  <c r="K32" i="5"/>
  <c r="C48" i="2"/>
  <c r="M31" i="5"/>
  <c r="P31" i="5" s="1"/>
  <c r="L32" i="5"/>
  <c r="D48" i="2"/>
  <c r="K33" i="9" l="1"/>
  <c r="M32" i="9"/>
  <c r="P32" i="9" s="1"/>
  <c r="L33" i="9"/>
  <c r="K34" i="8"/>
  <c r="M32" i="8"/>
  <c r="P32" i="8" s="1"/>
  <c r="L33" i="8"/>
  <c r="K33" i="7"/>
  <c r="M32" i="7"/>
  <c r="P32" i="7" s="1"/>
  <c r="L33" i="7"/>
  <c r="P32" i="6"/>
  <c r="K33" i="6"/>
  <c r="L33" i="6"/>
  <c r="M32" i="6"/>
  <c r="K33" i="5"/>
  <c r="C49" i="2"/>
  <c r="M32" i="5"/>
  <c r="P32" i="5" s="1"/>
  <c r="L33" i="5"/>
  <c r="D49" i="2"/>
  <c r="K34" i="9" l="1"/>
  <c r="M33" i="9"/>
  <c r="P33" i="9" s="1"/>
  <c r="L34" i="9"/>
  <c r="K35" i="8"/>
  <c r="L34" i="8"/>
  <c r="M33" i="8"/>
  <c r="P33" i="8" s="1"/>
  <c r="P33" i="7"/>
  <c r="K34" i="7"/>
  <c r="M33" i="7"/>
  <c r="L34" i="7"/>
  <c r="K34" i="6"/>
  <c r="M33" i="6"/>
  <c r="P33" i="6" s="1"/>
  <c r="L34" i="6"/>
  <c r="K34" i="5"/>
  <c r="C50" i="2"/>
  <c r="M33" i="5"/>
  <c r="P33" i="5" s="1"/>
  <c r="L34" i="5"/>
  <c r="D50" i="2"/>
  <c r="K35" i="9" l="1"/>
  <c r="M34" i="9"/>
  <c r="P34" i="9" s="1"/>
  <c r="L35" i="9"/>
  <c r="K36" i="8"/>
  <c r="M34" i="8"/>
  <c r="P34" i="8" s="1"/>
  <c r="L35" i="8"/>
  <c r="K35" i="7"/>
  <c r="M34" i="7"/>
  <c r="P34" i="7" s="1"/>
  <c r="L35" i="7"/>
  <c r="K35" i="6"/>
  <c r="M34" i="6"/>
  <c r="P34" i="6" s="1"/>
  <c r="L35" i="6"/>
  <c r="K35" i="5"/>
  <c r="C51" i="2"/>
  <c r="M34" i="5"/>
  <c r="P34" i="5" s="1"/>
  <c r="L35" i="5"/>
  <c r="D51" i="2"/>
  <c r="K36" i="9" l="1"/>
  <c r="M35" i="9"/>
  <c r="P35" i="9" s="1"/>
  <c r="L36" i="9"/>
  <c r="K37" i="8"/>
  <c r="M35" i="8"/>
  <c r="P35" i="8" s="1"/>
  <c r="L36" i="8"/>
  <c r="K36" i="7"/>
  <c r="M35" i="7"/>
  <c r="P35" i="7" s="1"/>
  <c r="L36" i="7"/>
  <c r="K36" i="6"/>
  <c r="M35" i="6"/>
  <c r="P35" i="6" s="1"/>
  <c r="L36" i="6"/>
  <c r="K36" i="5"/>
  <c r="C52" i="2"/>
  <c r="M35" i="5"/>
  <c r="P35" i="5" s="1"/>
  <c r="L36" i="5"/>
  <c r="D52" i="2"/>
  <c r="K37" i="9" l="1"/>
  <c r="M36" i="9"/>
  <c r="P36" i="9" s="1"/>
  <c r="L37" i="9"/>
  <c r="K38" i="8"/>
  <c r="D10" i="2" s="1"/>
  <c r="M36" i="8"/>
  <c r="P36" i="8" s="1"/>
  <c r="L37" i="8"/>
  <c r="K37" i="7"/>
  <c r="M36" i="7"/>
  <c r="P36" i="7" s="1"/>
  <c r="L37" i="7"/>
  <c r="K37" i="6"/>
  <c r="M36" i="6"/>
  <c r="P36" i="6" s="1"/>
  <c r="L37" i="6"/>
  <c r="K37" i="5"/>
  <c r="C53" i="2"/>
  <c r="M36" i="5"/>
  <c r="P36" i="5" s="1"/>
  <c r="L37" i="5"/>
  <c r="D53" i="2"/>
  <c r="K38" i="9" l="1"/>
  <c r="D11" i="2" s="1"/>
  <c r="M37" i="9"/>
  <c r="P37" i="9" s="1"/>
  <c r="L38" i="9"/>
  <c r="M38" i="9" s="1"/>
  <c r="L36" i="17" s="1"/>
  <c r="H10" i="2"/>
  <c r="F10" i="2"/>
  <c r="M37" i="8"/>
  <c r="P37" i="8" s="1"/>
  <c r="L38" i="8"/>
  <c r="M38" i="8" s="1"/>
  <c r="L29" i="17" s="1"/>
  <c r="K38" i="7"/>
  <c r="D9" i="2" s="1"/>
  <c r="M37" i="7"/>
  <c r="P37" i="7" s="1"/>
  <c r="L38" i="7"/>
  <c r="M38" i="7" s="1"/>
  <c r="L22" i="17" s="1"/>
  <c r="P37" i="6"/>
  <c r="K38" i="6"/>
  <c r="D8" i="2" s="1"/>
  <c r="M37" i="6"/>
  <c r="L38" i="6"/>
  <c r="K38" i="5"/>
  <c r="D7" i="2" s="1"/>
  <c r="C54" i="2"/>
  <c r="M37" i="5"/>
  <c r="P37" i="5" s="1"/>
  <c r="L38" i="5"/>
  <c r="D54" i="2"/>
  <c r="H11" i="2" l="1"/>
  <c r="F11" i="2"/>
  <c r="D19" i="2"/>
  <c r="C19" i="2"/>
  <c r="M10" i="2"/>
  <c r="F9" i="2"/>
  <c r="H9" i="2"/>
  <c r="H8" i="2"/>
  <c r="F8" i="2"/>
  <c r="H7" i="2"/>
  <c r="F7" i="2"/>
  <c r="D12" i="2"/>
  <c r="H12" i="2" s="1"/>
  <c r="M38" i="6"/>
  <c r="M15" i="17" s="1"/>
  <c r="M38" i="5"/>
  <c r="M8" i="17" s="1"/>
  <c r="D20" i="2" l="1"/>
  <c r="C20" i="2"/>
  <c r="M11" i="2"/>
  <c r="D18" i="2"/>
  <c r="C18" i="2"/>
  <c r="M9" i="2"/>
  <c r="D17" i="2"/>
  <c r="C17" i="2"/>
  <c r="M8" i="2"/>
  <c r="D16" i="2"/>
  <c r="C16" i="2"/>
  <c r="M7" i="2"/>
  <c r="H88" i="1" s="1"/>
  <c r="G49" i="20"/>
  <c r="B88" i="1"/>
  <c r="F12" i="2"/>
</calcChain>
</file>

<file path=xl/sharedStrings.xml><?xml version="1.0" encoding="utf-8"?>
<sst xmlns="http://schemas.openxmlformats.org/spreadsheetml/2006/main" count="1152" uniqueCount="558">
  <si>
    <t>RCPM GGV PLANT OPTIMIZATION PLANNER</t>
  </si>
  <si>
    <t>Fleet utilisation</t>
  </si>
  <si>
    <t>Fleet availability</t>
  </si>
  <si>
    <t>Machines on target</t>
  </si>
  <si>
    <t>Total actual hours</t>
  </si>
  <si>
    <t>Total delay hours</t>
  </si>
  <si>
    <t>GG MECHANICAL TEAM, EQUIPMENT &amp; MAINTENANCE</t>
  </si>
  <si>
    <t>Read only  -  every figure is calculated from the MECHANIC ROSTER, the EQUIPMENT REGISTER and the MAINTENANCE LOG</t>
  </si>
  <si>
    <t>A.  WORKFORCE</t>
  </si>
  <si>
    <t>Mechanics scheduled</t>
  </si>
  <si>
    <t>Mechanics present</t>
  </si>
  <si>
    <t>Hours on site</t>
  </si>
  <si>
    <t>Productive hours</t>
  </si>
  <si>
    <t>Labour utilisation</t>
  </si>
  <si>
    <t>B.  EQUIPMENT</t>
  </si>
  <si>
    <t>Equipment on register</t>
  </si>
  <si>
    <t>Active</t>
  </si>
  <si>
    <t>Inactive</t>
  </si>
  <si>
    <t>Available</t>
  </si>
  <si>
    <t>Unavailable</t>
  </si>
  <si>
    <t>Prod fleet availability</t>
  </si>
  <si>
    <t>Prod fleet utilisation</t>
  </si>
  <si>
    <t>Rental availability</t>
  </si>
  <si>
    <t>Rental utilisation</t>
  </si>
  <si>
    <t>Machines with open jobs</t>
  </si>
  <si>
    <t>C.  MAINTENANCE</t>
  </si>
  <si>
    <t>Open breakdowns</t>
  </si>
  <si>
    <t>Completed repairs</t>
  </si>
  <si>
    <t>Planned maint completed</t>
  </si>
  <si>
    <t>Overdue maintenance</t>
  </si>
  <si>
    <t>Maintenance backlog</t>
  </si>
  <si>
    <t>D.  MECHANICAL EFFECTIVENESS</t>
  </si>
  <si>
    <t>MTTR (hrs)</t>
  </si>
  <si>
    <t>Planned repair hrs</t>
  </si>
  <si>
    <t>Actual repair hrs</t>
  </si>
  <si>
    <t>Avg repair variance (hrs)</t>
  </si>
  <si>
    <t>ETR compliance</t>
  </si>
  <si>
    <t>Jobs completed on time</t>
  </si>
  <si>
    <t>Jobs overdue</t>
  </si>
  <si>
    <t>Repeat breakdowns</t>
  </si>
  <si>
    <t>Returned to production</t>
  </si>
  <si>
    <t>Machines flagged red</t>
  </si>
  <si>
    <t>FLEET SUMMARY</t>
  </si>
  <si>
    <t>Exxaro Grootegeluk  |  PLANT OPTIMIZATION</t>
  </si>
  <si>
    <t>All figures calculated from the machine tabs. Nothing is captured on this sheet.</t>
  </si>
  <si>
    <t>EQUIP</t>
  </si>
  <si>
    <t>MACHINE TYPE</t>
  </si>
  <si>
    <t>PLANNED HRS</t>
  </si>
  <si>
    <t>ACTUAL HRS</t>
  </si>
  <si>
    <t>HRS GAP</t>
  </si>
  <si>
    <t>UTIL TARGET</t>
  </si>
  <si>
    <t>ACTUAL UTIL</t>
  </si>
  <si>
    <t>AVAIL TARGET</t>
  </si>
  <si>
    <t>ACTUAL AVAIL</t>
  </si>
  <si>
    <t>OPS DELAY HRS</t>
  </si>
  <si>
    <t>B/DOWN HRS</t>
  </si>
  <si>
    <t>STATUS</t>
  </si>
  <si>
    <t>CRT220</t>
  </si>
  <si>
    <t>CAT 773 RDT</t>
  </si>
  <si>
    <t>CRT221</t>
  </si>
  <si>
    <t>CRT222</t>
  </si>
  <si>
    <t>CRT224</t>
  </si>
  <si>
    <t>CAT 395 Excavator</t>
  </si>
  <si>
    <t>CRT225</t>
  </si>
  <si>
    <t>CAT D9 Dozer</t>
  </si>
  <si>
    <t>FLEET TOTAL</t>
  </si>
  <si>
    <t>CHART DATA  -  do not edit</t>
  </si>
  <si>
    <t>ACHIEVED</t>
  </si>
  <si>
    <t>SHORTFALL</t>
  </si>
  <si>
    <t>AVAIL ACHIEVED</t>
  </si>
  <si>
    <t>AVAIL SHORTFALL</t>
  </si>
  <si>
    <t>CUMULATIVE FLEET TREND  -  do not edit</t>
  </si>
  <si>
    <t>DAY</t>
  </si>
  <si>
    <t>CUM TARGET</t>
  </si>
  <si>
    <t>CUM ACTUAL</t>
  </si>
  <si>
    <t>ENGINEERING AVAILABILITY</t>
  </si>
  <si>
    <t>Exxaro Grootegeluk  |   PLANT OPTIMIZATION</t>
  </si>
  <si>
    <t>Availability is an engineering KPI and is measured separately from production utilisation.</t>
  </si>
  <si>
    <t>PLANNED AVAIL HRS</t>
  </si>
  <si>
    <t>BREAKDOWN HRS</t>
  </si>
  <si>
    <t>TARGET AVAIL</t>
  </si>
  <si>
    <t>VARIANCE</t>
  </si>
  <si>
    <t>FLEET</t>
  </si>
  <si>
    <t>RENTAL &amp; STANDBY FLEET  -  AVAILABILITY AND UTILISATION</t>
  </si>
  <si>
    <t>For machines without a daily machine tab. Breakdown and planned maintenance hours come from the MAINTENANCE LOG, so the reason for every unavailable hour is traceable.</t>
  </si>
  <si>
    <t>EQUIPMENT TYPE</t>
  </si>
  <si>
    <t>PLANNED
HRS</t>
  </si>
  <si>
    <t>B/DOWN
HRS</t>
  </si>
  <si>
    <t>PLANNED MAINT
HRS</t>
  </si>
  <si>
    <t>OTHER
DOWNTIME</t>
  </si>
  <si>
    <t>AVAILABLE
HRS</t>
  </si>
  <si>
    <t>AVAILABILITY
%</t>
  </si>
  <si>
    <t>OPERATING
HRS</t>
  </si>
  <si>
    <t>IDLE
HRS</t>
  </si>
  <si>
    <t>UTILISATION
%</t>
  </si>
  <si>
    <t>RAG</t>
  </si>
  <si>
    <t>RENTAL TOTAL</t>
  </si>
  <si>
    <t>Planned hours, other downtime and operating hours are captured per contract. Availability = available hours / planned hours.  Utilisation = operating hours / available hours.  The two are deliberately kept separate.</t>
  </si>
  <si>
    <t>SETUP &amp; TARGETS</t>
  </si>
  <si>
    <t>Exxaro Grootegeluk  |  APRIL 2026  |  PLANT OPTIMIZATION</t>
  </si>
  <si>
    <t>Blue cells are inputs. Change them here and the whole workbook follows.</t>
  </si>
  <si>
    <t>OPERATING PARAMETERS</t>
  </si>
  <si>
    <t>Shift hours per day</t>
  </si>
  <si>
    <t>Targeted hours on the machine per working day</t>
  </si>
  <si>
    <t>Working days per month</t>
  </si>
  <si>
    <t>Monday to Friday basis</t>
  </si>
  <si>
    <t>Planned operating hours per month</t>
  </si>
  <si>
    <t>Shift hours x working days - calculated</t>
  </si>
  <si>
    <t>Planned available hours per day</t>
  </si>
  <si>
    <t>Engineering availability window per day</t>
  </si>
  <si>
    <t>Utilisation target</t>
  </si>
  <si>
    <t>Green at or above this share of the cumulative target</t>
  </si>
  <si>
    <t>Availability target</t>
  </si>
  <si>
    <t>Allows for daily inspections, breakdowns and scheduled maintenance</t>
  </si>
  <si>
    <t>Amber threshold</t>
  </si>
  <si>
    <t>Below the utilisation target but above this is amber</t>
  </si>
  <si>
    <t>Calendar days in month</t>
  </si>
  <si>
    <t>Number of day rows on each machine tab</t>
  </si>
  <si>
    <t>FLEET REGISTER</t>
  </si>
  <si>
    <t>EQUIP CODE</t>
  </si>
  <si>
    <t>ACTIVE</t>
  </si>
  <si>
    <t>Planned operating hours = shift hours x working days. Confirm the GGV shift pattern with the Site Manager.</t>
  </si>
  <si>
    <t>MECHANICAL TEAM PARAMETERS</t>
  </si>
  <si>
    <t>Mechanical shift length (hours)</t>
  </si>
  <si>
    <t>Day shift 06:00 to 18:00, night shift 18:00 to 06:00</t>
  </si>
  <si>
    <t>Labour utilisation target</t>
  </si>
  <si>
    <t>Productive mechanical hours as a share of hours on site</t>
  </si>
  <si>
    <t>ETR compliance target</t>
  </si>
  <si>
    <t>Share of repairs completed by the estimated time of repair</t>
  </si>
  <si>
    <t>MTTR baseline (hours)</t>
  </si>
  <si>
    <t>Left blank on purpose - no external benchmark assumed. Populate once GG has run enough months to set its own baseline</t>
  </si>
  <si>
    <t>Service interval (engine hours)</t>
  </si>
  <si>
    <t>Used for guidance only - next service date is captured per machine</t>
  </si>
  <si>
    <t>Inspection interval (days)</t>
  </si>
  <si>
    <t>Drives the next inspection date on the EQUIPMENT REGISTER</t>
  </si>
  <si>
    <t>Service / inspection warning (days)</t>
  </si>
  <si>
    <t>Days before due date that a machine flags as DUE</t>
  </si>
  <si>
    <t>Maintenance backlog - amber (open jobs)</t>
  </si>
  <si>
    <t>Open or in-progress jobs per machine before it flags amber</t>
  </si>
  <si>
    <t>Maintenance backlog - red (open jobs)</t>
  </si>
  <si>
    <t>Open or in-progress jobs per machine before it flags red</t>
  </si>
  <si>
    <t>MECHANICAL TEAM REGISTER</t>
  </si>
  <si>
    <t>NAME</t>
  </si>
  <si>
    <t>POSITION</t>
  </si>
  <si>
    <t>ROSTER PATTERN</t>
  </si>
  <si>
    <t>SHIFT HRS</t>
  </si>
  <si>
    <t>Lindokuhle Ntombela</t>
  </si>
  <si>
    <t>Mechanic / Acting Team Leader</t>
  </si>
  <si>
    <t>Monday to Friday - Day</t>
  </si>
  <si>
    <t>Motlalepula Molefe</t>
  </si>
  <si>
    <t>Mechanic</t>
  </si>
  <si>
    <t>Cycle group A - 3 day / 3 night / 3 off</t>
  </si>
  <si>
    <t>Thabo Monyane</t>
  </si>
  <si>
    <t>Cycle group B - 3 day / 3 night / 3 off</t>
  </si>
  <si>
    <t>Tshepang Maepa</t>
  </si>
  <si>
    <t>Assistant Mechanic</t>
  </si>
  <si>
    <t>Cycle group C - 3 day / 3 night / 3 off</t>
  </si>
  <si>
    <t>Names come from the GGV Lephalale shift roster. Change a name here and the roster, maintenance log and mechanic performance tabs all follow.</t>
  </si>
  <si>
    <t>EQUIPMENT LOG  |  CRT220  -  CAT 773 RDT</t>
  </si>
  <si>
    <t>DATE</t>
  </si>
  <si>
    <t>WORK
DAY</t>
  </si>
  <si>
    <t>OPENING
ENG HRS</t>
  </si>
  <si>
    <t>CLOSING
ENG HRS</t>
  </si>
  <si>
    <t>DIRECT
OPS HRS</t>
  </si>
  <si>
    <t>DELAY
CODE(S)</t>
  </si>
  <si>
    <t>OPS DELAY
HRS</t>
  </si>
  <si>
    <t>DAILY
TARGET</t>
  </si>
  <si>
    <t>CUM
TARGET</t>
  </si>
  <si>
    <t>CUM
ACTUAL</t>
  </si>
  <si>
    <t>CUM
ACHIEVED</t>
  </si>
  <si>
    <t>DAILY
UTIL %</t>
  </si>
  <si>
    <t>DAILY
AVAIL %</t>
  </si>
  <si>
    <t>COMMENTS / DETAILS</t>
  </si>
  <si>
    <t>Y</t>
  </si>
  <si>
    <t>BD-HP</t>
  </si>
  <si>
    <t>BD-CC</t>
  </si>
  <si>
    <t>BD-WR</t>
  </si>
  <si>
    <t>MONTH TOTAL</t>
  </si>
  <si>
    <t>EQUIPMENT LOG  |  CRT221  -  CAT 773 RDT</t>
  </si>
  <si>
    <t>ED-3P</t>
  </si>
  <si>
    <t>BD-SO</t>
  </si>
  <si>
    <t>OD-U</t>
  </si>
  <si>
    <t>OD-PSI</t>
  </si>
  <si>
    <t>OD-PSA</t>
  </si>
  <si>
    <t>EQUIPMENT LOG  |  CRT222  -  CAT 773 RDT</t>
  </si>
  <si>
    <t>OD-PD</t>
  </si>
  <si>
    <t>ED-W</t>
  </si>
  <si>
    <t>OD-PSI/A</t>
  </si>
  <si>
    <t>EQUIPMENT LOG  |  CRT224  -  CAT 395 Excavator</t>
  </si>
  <si>
    <t>BD-HY</t>
  </si>
  <si>
    <t>OD-PSS</t>
  </si>
  <si>
    <t>ED-EL</t>
  </si>
  <si>
    <t>EQUIPMENT LOG  |  CRT225  -  CAT D9 Dozer</t>
  </si>
  <si>
    <t>Exxaro Grootegeluk  | PLANT OPTIMIZATION</t>
  </si>
  <si>
    <t>Capture the blue columns daily. Cumulative target builds automatically; RAG turns green at the utilisation target.</t>
  </si>
  <si>
    <t>MECHANIC SHIFT ROSTER &amp; ATTENDANCE</t>
  </si>
  <si>
    <t>Capture the shift and the hours each mechanic was on site. Productive hours pull automatically from the MAINTENANCE LOG, so a mechanic only earns productive hours against a logged job.</t>
  </si>
  <si>
    <t>SHIFT</t>
  </si>
  <si>
    <t>SCHED
HRS</t>
  </si>
  <si>
    <t>HRS ON
SITE</t>
  </si>
  <si>
    <t>PROD
HRS</t>
  </si>
  <si>
    <t>Shift total counts day and night shifts worked. Scheduled hours exclude days off.</t>
  </si>
  <si>
    <t>ROSTER REFERENCE  -  AS SUPPLIED BY SITE (1 to 9 SEPTEMBER 2026)</t>
  </si>
  <si>
    <t>ARTISAN 1</t>
  </si>
  <si>
    <t>ARTISAN 3</t>
  </si>
  <si>
    <t>Lindo: Monday to Friday</t>
  </si>
  <si>
    <t>N-Tshepang</t>
  </si>
  <si>
    <t>O</t>
  </si>
  <si>
    <t>D-Tshepang</t>
  </si>
  <si>
    <t>Cycle: 3 day shifts, 3 night shifts, 3 days off.  D = day shift 06:00 to 18:00, N = night shift 18:00 to 06:00, O = off.  Only the first nine days were supplied - capture the rest of the month in the grid above.</t>
  </si>
  <si>
    <t>EQUIPMENT REGISTER &amp; STATUS</t>
  </si>
  <si>
    <t>Every machine the GG mechanics are responsible for, active or not. Parked, unavailable and unallocated machines stay on this register.</t>
  </si>
  <si>
    <t>EQUIP
ID</t>
  </si>
  <si>
    <t>EQUIPMENT
TYPE</t>
  </si>
  <si>
    <t>CURRENT
LOCATION</t>
  </si>
  <si>
    <t>PROJECT /
CUSTOMER</t>
  </si>
  <si>
    <t>ACTIVE
STATUS</t>
  </si>
  <si>
    <t>AVAILABILITY
STATUS</t>
  </si>
  <si>
    <t>OPERATING
STATUS</t>
  </si>
  <si>
    <t>B/DOWN
STATUS</t>
  </si>
  <si>
    <t>BREAKDOWN
REASON</t>
  </si>
  <si>
    <t>BREAKDOWN
CATEGORY</t>
  </si>
  <si>
    <t>PLANNED MAINT
STATUS</t>
  </si>
  <si>
    <t>LAST
INSPECTION</t>
  </si>
  <si>
    <t>LAST
SERVICE</t>
  </si>
  <si>
    <t>NEXT
INSPECTION</t>
  </si>
  <si>
    <t>NEXT
SERVICE</t>
  </si>
  <si>
    <t>DAYS TO
SERVICE</t>
  </si>
  <si>
    <t>INSPECTION
FLAG</t>
  </si>
  <si>
    <t>SERVICE
FLAG</t>
  </si>
  <si>
    <t>OPEN
JOBS</t>
  </si>
  <si>
    <t>OUTSTANDING DEFECTS / REPAIR REQUIREMENT</t>
  </si>
  <si>
    <t>Grootegeluk</t>
  </si>
  <si>
    <t>Exxaro Grootegeluk</t>
  </si>
  <si>
    <t>RCPM008</t>
  </si>
  <si>
    <t>Grader</t>
  </si>
  <si>
    <t>RCPM009</t>
  </si>
  <si>
    <t>Compactor</t>
  </si>
  <si>
    <t>RCPM010</t>
  </si>
  <si>
    <t>Diamond View</t>
  </si>
  <si>
    <t>RCPM023</t>
  </si>
  <si>
    <t>Water Bowser</t>
  </si>
  <si>
    <t>Mabunda</t>
  </si>
  <si>
    <t>RCPM024</t>
  </si>
  <si>
    <t>REGISTER SUMMARY</t>
  </si>
  <si>
    <t>Total equipment on register</t>
  </si>
  <si>
    <t>Maintenance overdue</t>
  </si>
  <si>
    <t>Maintenance due</t>
  </si>
  <si>
    <t>Maintenance backlog (open jobs)</t>
  </si>
  <si>
    <t>Blue cells are captured on site. Next inspection, flags, open jobs and the RAG column calculate themselves. Open jobs count Open and In Progress lines on the MAINTENANCE LOG.</t>
  </si>
  <si>
    <t>MAINTENANCE, BREAKDOWN &amp; REPAIR LOG</t>
  </si>
  <si>
    <t>One line per job. Every KPI in this workbook that concerns the mechanics is built from these lines - mechanic, machine, activity, planned time, actual time and outcome.</t>
  </si>
  <si>
    <t>JOB
NO</t>
  </si>
  <si>
    <t>JOB
TYPE</t>
  </si>
  <si>
    <t>CATEGORY</t>
  </si>
  <si>
    <t>PROBLEM / ACTIVITY DESCRIPTION</t>
  </si>
  <si>
    <t>MECHANIC</t>
  </si>
  <si>
    <t>ASSISTANT</t>
  </si>
  <si>
    <t>BREAKDOWN
START</t>
  </si>
  <si>
    <t>DIAGNOSIS
START</t>
  </si>
  <si>
    <t>REPAIR
START</t>
  </si>
  <si>
    <t>ETR
(PLANNED COMPLETION)</t>
  </si>
  <si>
    <t>ACTUAL
COMPLETION</t>
  </si>
  <si>
    <t>ACTUAL
HRS</t>
  </si>
  <si>
    <t>VARIANCE
HRS</t>
  </si>
  <si>
    <t>VARIANCE
%</t>
  </si>
  <si>
    <t>ETR
STATUS</t>
  </si>
  <si>
    <t>PARTS DELAY
HRS</t>
  </si>
  <si>
    <t>EXTERNAL DELAY
HRS</t>
  </si>
  <si>
    <t>RETURNED TO
SERVICE</t>
  </si>
  <si>
    <t>RETURN TO SERVICE
DATE / TIME</t>
  </si>
  <si>
    <t>REPEAT
B/DOWN</t>
  </si>
  <si>
    <t>COMMENTS</t>
  </si>
  <si>
    <t>Capture below this line.  Blue = capture, black = calculated.</t>
  </si>
  <si>
    <t>MECHANIC PRODUCTIVITY &amp; EFFECTIVENESS</t>
  </si>
  <si>
    <t>Effectiveness is measured on execution of planned work and the return of equipment to production - not on attendance and not on the absence of breakdowns. Every figure on this sheet is calculated from the MECHANIC ROSTER and the MAINTENANCE LOG.</t>
  </si>
  <si>
    <t>ATTEND
%</t>
  </si>
  <si>
    <t>PRODUCTIVE
HRS</t>
  </si>
  <si>
    <t>LABOUR
UTIL %</t>
  </si>
  <si>
    <t>JOBS
ASSIGNED</t>
  </si>
  <si>
    <t>JOBS
COMPLETED</t>
  </si>
  <si>
    <t>PLANNED
REPAIR HRS</t>
  </si>
  <si>
    <t>ACTUAL
REPAIR HRS</t>
  </si>
  <si>
    <t>MTTR
(HRS)</t>
  </si>
  <si>
    <t>ETR
MET</t>
  </si>
  <si>
    <t>ETR
COMPLIANCE %</t>
  </si>
  <si>
    <t>JOBS
OVERDUE</t>
  </si>
  <si>
    <t>EQUIP RETURNED
TO PRODUCTION</t>
  </si>
  <si>
    <t>REPEAT
B/DOWNS</t>
  </si>
  <si>
    <t>TEAM TOTAL</t>
  </si>
  <si>
    <t>MTTR BY EQUIPMENT</t>
  </si>
  <si>
    <t>COMPLETED REPAIRS</t>
  </si>
  <si>
    <t>TOTAL REPAIR HRS</t>
  </si>
  <si>
    <t>MTTR (HRS)</t>
  </si>
  <si>
    <t>VARIANCE HRS</t>
  </si>
  <si>
    <t>REPEAT B/DOWNS</t>
  </si>
  <si>
    <t>MTTR BY BREAKDOWN TYPE</t>
  </si>
  <si>
    <t>JOBS</t>
  </si>
  <si>
    <t>COMPLETED</t>
  </si>
  <si>
    <t>Engine</t>
  </si>
  <si>
    <t>Hydraulic</t>
  </si>
  <si>
    <t>Electrical</t>
  </si>
  <si>
    <t>Transmission</t>
  </si>
  <si>
    <t>Undercarriage</t>
  </si>
  <si>
    <t>Tyres</t>
  </si>
  <si>
    <t>Brakes</t>
  </si>
  <si>
    <t>Cooling</t>
  </si>
  <si>
    <t>Body &amp; Structure</t>
  </si>
  <si>
    <t>Operator Damage</t>
  </si>
  <si>
    <t>Other</t>
  </si>
  <si>
    <t>MTTR BY SHIFT</t>
  </si>
  <si>
    <t>Day</t>
  </si>
  <si>
    <t>Night</t>
  </si>
  <si>
    <t>MTTR BY WEEK</t>
  </si>
  <si>
    <t>WEEK</t>
  </si>
  <si>
    <t>FROM</t>
  </si>
  <si>
    <t>TO</t>
  </si>
  <si>
    <t>ETR MET</t>
  </si>
  <si>
    <t>ETR MISSED</t>
  </si>
  <si>
    <t>Week 1</t>
  </si>
  <si>
    <t>Week 2</t>
  </si>
  <si>
    <t>Week 3</t>
  </si>
  <si>
    <t>Week 4</t>
  </si>
  <si>
    <t>Week 5</t>
  </si>
  <si>
    <t>Weeks run from the first date on the machine tabs. Month-to-date MTTR is the team figure in the summary below - no external MTTR benchmark is applied.</t>
  </si>
  <si>
    <t>MONTH TO DATE  -  MECHANICAL SUMMARY</t>
  </si>
  <si>
    <t>Jobs logged</t>
  </si>
  <si>
    <t>Planned maintenance completed</t>
  </si>
  <si>
    <t>Total planned repair hours</t>
  </si>
  <si>
    <t>Total actual repair hours</t>
  </si>
  <si>
    <t>Average repair variance (hrs)</t>
  </si>
  <si>
    <t>MTTR - team (hrs)</t>
  </si>
  <si>
    <t>Equipment returned to production</t>
  </si>
  <si>
    <t>MEASURE</t>
  </si>
  <si>
    <t>Rental fleet availability</t>
  </si>
  <si>
    <t>DELAY &amp; ROOT CAUSE ANALYSIS</t>
  </si>
  <si>
    <t>One line per delay event. Codes come from the Delay Code Register.</t>
  </si>
  <si>
    <t>CODE</t>
  </si>
  <si>
    <t>DESCRIPTION</t>
  </si>
  <si>
    <t>TOTAL HRS</t>
  </si>
  <si>
    <t>% OF PLANNED</t>
  </si>
  <si>
    <t>IMPACT</t>
  </si>
  <si>
    <t>CORRECTIVE ACTION / OWNER</t>
  </si>
  <si>
    <t>SAFETY KPI  -  PTO / VFL WEEKLY SPLIT</t>
  </si>
  <si>
    <t>Monthly PTO commitment split into weekly targets, as agreed with the Operations Manager.</t>
  </si>
  <si>
    <t>Monthly PTO target per person</t>
  </si>
  <si>
    <t>Weekly target (rounded up)</t>
  </si>
  <si>
    <t>TARGET</t>
  </si>
  <si>
    <t>WK 1</t>
  </si>
  <si>
    <t>WK 2</t>
  </si>
  <si>
    <t>WK 3</t>
  </si>
  <si>
    <t>WK 4</t>
  </si>
  <si>
    <t>ACTUAL</t>
  </si>
  <si>
    <t>MTTR &amp; MTBF</t>
  </si>
  <si>
    <t>Mean time to repair and mean time between failures, per machine.</t>
  </si>
  <si>
    <t>FAILURE DESCRIPTION</t>
  </si>
  <si>
    <t>REPAIR HRS</t>
  </si>
  <si>
    <t>DELAY CODE</t>
  </si>
  <si>
    <t>OPERATING HRS BEFORE</t>
  </si>
  <si>
    <t>SUMMARY PER MACHINE</t>
  </si>
  <si>
    <t>FAILURES</t>
  </si>
  <si>
    <t>MTBF (HRS)</t>
  </si>
  <si>
    <t>ANNUAL MONTHLY SUMMARY TRACKER</t>
  </si>
  <si>
    <t>EQUIPMENT</t>
  </si>
  <si>
    <t>METRIC</t>
  </si>
  <si>
    <t>JAN</t>
  </si>
  <si>
    <t>FEB</t>
  </si>
  <si>
    <t>MAR</t>
  </si>
  <si>
    <t>APR</t>
  </si>
  <si>
    <t>MAY</t>
  </si>
  <si>
    <t>JUN</t>
  </si>
  <si>
    <t>JUL</t>
  </si>
  <si>
    <t>AUG</t>
  </si>
  <si>
    <t>SEP</t>
  </si>
  <si>
    <t>OCT</t>
  </si>
  <si>
    <t>NOV</t>
  </si>
  <si>
    <t>DEC</t>
  </si>
  <si>
    <t>ACTUAL OPS HRS</t>
  </si>
  <si>
    <t>UTILISATION %</t>
  </si>
  <si>
    <t>AVAILABILITY %</t>
  </si>
  <si>
    <t>DELAY &amp; BREAKDOWN CODE REGISTER</t>
  </si>
  <si>
    <t>PRIORITY</t>
  </si>
  <si>
    <t>W</t>
  </si>
  <si>
    <t>Weather / Rain &amp; Slippery Road Conditions</t>
  </si>
  <si>
    <t>Environmental</t>
  </si>
  <si>
    <t>LOW</t>
  </si>
  <si>
    <t>Under Utilization</t>
  </si>
  <si>
    <t>Operational</t>
  </si>
  <si>
    <t>MEDIUM</t>
  </si>
  <si>
    <t>OD-NF</t>
  </si>
  <si>
    <t>No Floor Stock / Material</t>
  </si>
  <si>
    <t>OD-NO</t>
  </si>
  <si>
    <t>No Operator Available</t>
  </si>
  <si>
    <t>OD-NM</t>
  </si>
  <si>
    <t>No Material / Production Delay</t>
  </si>
  <si>
    <t>PDS Proximity Detection System Not Working</t>
  </si>
  <si>
    <t>OD-FS</t>
  </si>
  <si>
    <t>Floor Stock Shortage</t>
  </si>
  <si>
    <t>OD-WA</t>
  </si>
  <si>
    <t>Work Area Not Available / Blasting</t>
  </si>
  <si>
    <t>OD-IN</t>
  </si>
  <si>
    <t>Machine Inspection / Pre-Use Check</t>
  </si>
  <si>
    <t>OD-DS</t>
  </si>
  <si>
    <t>Waiting for Diesel</t>
  </si>
  <si>
    <t>OD-GW</t>
  </si>
  <si>
    <t>Generator not working</t>
  </si>
  <si>
    <t>OD-M</t>
  </si>
  <si>
    <t>Meeting</t>
  </si>
  <si>
    <t>OD-T</t>
  </si>
  <si>
    <t>Transportation</t>
  </si>
  <si>
    <t>Production stoppage due to substandard findings by safety(Stop and Fix) MHSA Sec55</t>
  </si>
  <si>
    <t>Production stoppage due Internal MHSA Sec54</t>
  </si>
  <si>
    <t>Production stoppage due incident/accident</t>
  </si>
  <si>
    <t>Production stoppage due incident/accident Investigation</t>
  </si>
  <si>
    <t>OD-LW</t>
  </si>
  <si>
    <t xml:space="preserve"> Lighting plants not working.</t>
  </si>
  <si>
    <t>OD-ED</t>
  </si>
  <si>
    <t>Excessive Dust</t>
  </si>
  <si>
    <t>OD-PSH</t>
  </si>
  <si>
    <t>Production stoppage due Holiday Break</t>
  </si>
  <si>
    <t>OD-PSS/I</t>
  </si>
  <si>
    <t>Production stoppage due Stike(Illegal).</t>
  </si>
  <si>
    <t>OD-PSS/L</t>
  </si>
  <si>
    <t>Production stoppage due Strike(Legal).</t>
  </si>
  <si>
    <t>BD-HS</t>
  </si>
  <si>
    <t>Breakdown: Hub Seal Leaking</t>
  </si>
  <si>
    <t>Breakdown</t>
  </si>
  <si>
    <t>HIGH</t>
  </si>
  <si>
    <t>BD-BT</t>
  </si>
  <si>
    <t>Breakdown: Battery / Battery Terminal</t>
  </si>
  <si>
    <t>BD-AF</t>
  </si>
  <si>
    <t>Breakdown: Cracked A-Frame Pin</t>
  </si>
  <si>
    <t>BD-IN</t>
  </si>
  <si>
    <t>Breakdown: Indicators Not Working</t>
  </si>
  <si>
    <t>Breakdown: Machine Switching Off Unexpectedly</t>
  </si>
  <si>
    <t>BD-AL</t>
  </si>
  <si>
    <t>Breakdown: Alternator Not Charging</t>
  </si>
  <si>
    <t>BD-CV</t>
  </si>
  <si>
    <t>Breakdown: CV Boot Replacement</t>
  </si>
  <si>
    <t>BD-TY</t>
  </si>
  <si>
    <t>Breakdown: Tyre Related (Flat / Handler Required)</t>
  </si>
  <si>
    <t>BD-SL</t>
  </si>
  <si>
    <t>Breakdown: Solenoid Fault</t>
  </si>
  <si>
    <t>Breakdown: Hydraulic Leak / Hoses</t>
  </si>
  <si>
    <t>BD-AC</t>
  </si>
  <si>
    <t>Breakdown: Aircon / Cab Environment</t>
  </si>
  <si>
    <t>BD-LT</t>
  </si>
  <si>
    <t>Breakdown: Lights Not Working</t>
  </si>
  <si>
    <t>BD-PT</t>
  </si>
  <si>
    <t>Breakdown: PTO Pump / Drive Train</t>
  </si>
  <si>
    <t>B/D:HYDRAULIC PIPE REPLACEMENT=24HRS</t>
  </si>
  <si>
    <t>BD-SV</t>
  </si>
  <si>
    <t>Scheduled Maintenance / Service</t>
  </si>
  <si>
    <t>Maintenance</t>
  </si>
  <si>
    <t>B/D:WHEEL STATION REPLACEMENT=24HRS</t>
  </si>
  <si>
    <t>Breakdown:Component change out</t>
  </si>
  <si>
    <t>Engineering Delay: Welding</t>
  </si>
  <si>
    <t>Engineering</t>
  </si>
  <si>
    <t>Engineering Delay: Electrician / Electrical Fault</t>
  </si>
  <si>
    <t>ED-PD</t>
  </si>
  <si>
    <t>Engineering Delay: Parts / Spares Delivery</t>
  </si>
  <si>
    <t>ED-EX</t>
  </si>
  <si>
    <t>Engineering Delay: External Contractor Required</t>
  </si>
  <si>
    <t>Engineering Delay: Third Party (OTRACO / KMC / OEM)</t>
  </si>
  <si>
    <t>DATA QUALITY CHECK</t>
  </si>
  <si>
    <t>CHECK</t>
  </si>
  <si>
    <t>RESULT</t>
  </si>
  <si>
    <t>ACTION IF NOT OK</t>
  </si>
  <si>
    <t>CRT220 - closing engine hours never below opening</t>
  </si>
  <si>
    <t>Correct the engine hour readings on the CRT220 tab</t>
  </si>
  <si>
    <t>CRT220 - direct ops hours never exceed the shift length</t>
  </si>
  <si>
    <t>Investigate any day above the shift length on CRT220</t>
  </si>
  <si>
    <t>CRT220 - breakdown hours never exceed available hours</t>
  </si>
  <si>
    <t>Correct the breakdown hours on CRT220</t>
  </si>
  <si>
    <t>CRT221 - closing engine hours never below opening</t>
  </si>
  <si>
    <t>Correct the engine hour readings on the CRT221 tab</t>
  </si>
  <si>
    <t>CRT221 - direct ops hours never exceed the shift length</t>
  </si>
  <si>
    <t>Investigate any day above the shift length on CRT221</t>
  </si>
  <si>
    <t>CRT221 - breakdown hours never exceed available hours</t>
  </si>
  <si>
    <t>Correct the breakdown hours on CRT221</t>
  </si>
  <si>
    <t>CRT222 - closing engine hours never below opening</t>
  </si>
  <si>
    <t>Correct the engine hour readings on the CRT222 tab</t>
  </si>
  <si>
    <t>CRT222 - direct ops hours never exceed the shift length</t>
  </si>
  <si>
    <t>Investigate any day above the shift length on CRT222</t>
  </si>
  <si>
    <t>CRT222 - breakdown hours never exceed available hours</t>
  </si>
  <si>
    <t>Correct the breakdown hours on CRT222</t>
  </si>
  <si>
    <t>CRT224 - closing engine hours never below opening</t>
  </si>
  <si>
    <t>Correct the engine hour readings on the CRT224 tab</t>
  </si>
  <si>
    <t>CRT224 - direct ops hours never exceed the shift length</t>
  </si>
  <si>
    <t>Investigate any day above the shift length on CRT224</t>
  </si>
  <si>
    <t>CRT224 - breakdown hours never exceed available hours</t>
  </si>
  <si>
    <t>Correct the breakdown hours on CRT224</t>
  </si>
  <si>
    <t>CRT225 - closing engine hours never below opening</t>
  </si>
  <si>
    <t>Correct the engine hour readings on the CRT225 tab</t>
  </si>
  <si>
    <t>CRT225 - direct ops hours never exceed the shift length</t>
  </si>
  <si>
    <t>Investigate any day above the shift length on CRT225</t>
  </si>
  <si>
    <t>CRT225 - breakdown hours never exceed available hours</t>
  </si>
  <si>
    <t>Correct the breakdown hours on CRT225</t>
  </si>
  <si>
    <t>Fleet actual hours are greater than zero</t>
  </si>
  <si>
    <t>No production captured yet this month</t>
  </si>
  <si>
    <t>Working days flagged match the target working days</t>
  </si>
  <si>
    <t>Adjust the WORK DAY column so the month totals to the planned hours</t>
  </si>
  <si>
    <t>MECHANICAL MODULE</t>
  </si>
  <si>
    <t>Every logged job carries an equipment ID from the register</t>
  </si>
  <si>
    <t>Correct the EQUIP ID on the MAINTENANCE LOG or add the machine to the register</t>
  </si>
  <si>
    <t>Every logged job has a mechanic assigned</t>
  </si>
  <si>
    <t>A job with no mechanic cannot be measured - assign it</t>
  </si>
  <si>
    <t>Every logged job has a date</t>
  </si>
  <si>
    <t>Capture the date so the job lands in the right week and roster day</t>
  </si>
  <si>
    <t>Every logged job has a planned duration</t>
  </si>
  <si>
    <t>Without planned hours there is no planned versus actual measure</t>
  </si>
  <si>
    <t>Repair completion never falls before repair start</t>
  </si>
  <si>
    <t>Correct the repair start or completion time on the MAINTENANCE LOG</t>
  </si>
  <si>
    <t>Completed jobs all carry a completion time</t>
  </si>
  <si>
    <t>Close the job out with an actual completion date and time</t>
  </si>
  <si>
    <t>No job is sitting open past its ETR</t>
  </si>
  <si>
    <t>Follow up the overdue jobs on the MAINTENANCE LOG and update the ETR or close them out</t>
  </si>
  <si>
    <t>Hours on site never exceed the mechanical shift length</t>
  </si>
  <si>
    <t>Investigate any day where a mechanic is booked above the shift length</t>
  </si>
  <si>
    <t>Productive hours never exceed hours on site</t>
  </si>
  <si>
    <t>Either attendance was not captured or a job has been logged against the wrong day</t>
  </si>
  <si>
    <t>Every machine on the register has a next service date</t>
  </si>
  <si>
    <t>Parked machines still need a service date - that is the point of the register</t>
  </si>
  <si>
    <t>Every machine on the register has a last inspection date</t>
  </si>
  <si>
    <t>The next inspection date cannot calculate without it</t>
  </si>
  <si>
    <t>HOW THE MECHANICAL MODULE WORKS</t>
  </si>
  <si>
    <t>What the module answers</t>
  </si>
  <si>
    <t>Are the GG mechanics being effectively utilised, are they executing planned maintenance and repairs within the expected time, and is their performance improving equipment availability and returning equipment to production?</t>
  </si>
  <si>
    <t>The chain</t>
  </si>
  <si>
    <t>MECHANIC &gt; SHIFT &gt; EQUIPMENT &gt; ACTIVITY &gt; TIME SPENT &gt; PLANNED TIME &gt; RESULT &gt; AVAILABILITY AND UTILISATION.  Every dashboard KPI can be traced back down that chain to a single line on the MAINTENANCE LOG.</t>
  </si>
  <si>
    <t>Where you capture</t>
  </si>
  <si>
    <t xml:space="preserve">  •   MECHANIC ROSTER  -  shift letter (D, N or O) and hours on site, per mechanic per day.</t>
  </si>
  <si>
    <t xml:space="preserve">  •   EQUIPMENT REGISTER  -  location, project, status, breakdown reason, last inspection, last service and next service date, for every machine including parked ones.</t>
  </si>
  <si>
    <t xml:space="preserve">  •   MAINTENANCE LOG  -  one line per job: machine, activity, mechanic, assistant, breakdown and repair times, planned hours, ETR, actual completion, return to service and status.</t>
  </si>
  <si>
    <t xml:space="preserve">  •   AVAILABILITY (rental block)  -  planned, other downtime and operating hours for the machines that have no daily machine tab.</t>
  </si>
  <si>
    <t>Where you do not capture</t>
  </si>
  <si>
    <t>The DASHBOARD, MECHANIC PERFORMANCE and the summary blocks are calculated. Nothing is typed there, so no one can enter a figure that misrepresents performance.</t>
  </si>
  <si>
    <t>How the measures are built</t>
  </si>
  <si>
    <t xml:space="preserve">  •   Productive hours per mechanic = the sum of actual repair hours logged against that mechanic on that day, as lead or as assistant. Attendance alone earns nothing.</t>
  </si>
  <si>
    <t xml:space="preserve">  •   Actual repair hours = repair start to actual completion.</t>
  </si>
  <si>
    <t xml:space="preserve">  •   MTTR = total actual repair hours on completed jobs / number of completed repairs. It is shown by mechanic, machine, breakdown type, shift and week. No external benchmark is applied - the MTTR baseline cell on SETUP &amp; TARGETS is deliberately blank until GG has built its own trend.</t>
  </si>
  <si>
    <t xml:space="preserve">  •   ETR compliance = jobs completed on or before the ETR / jobs that had an ETR outcome.</t>
  </si>
  <si>
    <t xml:space="preserve">  •   Availability = available hours / planned hours.  Utilisation = operating hours / available hours. The two are separate KPIs and are never mixed.</t>
  </si>
  <si>
    <t>RAG flags</t>
  </si>
  <si>
    <t>Red and amber raise themselves on the maintenance log (missed ETR, repair over plan, repeat breakdown), on the equipment register (overdue inspection or service, machine unavailable, maintenance backlog) and on mechanic performance (labour utilisation or ETR compliance below target, jobs overdue).</t>
  </si>
  <si>
    <t>Before you rely on a month</t>
  </si>
  <si>
    <t>Run down the DATA QUALITY CHECK tab. Every line there should read OK.</t>
  </si>
  <si>
    <t>TLB</t>
  </si>
  <si>
    <t>N</t>
  </si>
  <si>
    <t xml:space="preserve">Tyre Puncture </t>
  </si>
  <si>
    <t>In Progress</t>
  </si>
  <si>
    <t xml:space="preserve">Waiting for tyres </t>
  </si>
  <si>
    <t>Work during night shift as day shift had rain</t>
  </si>
  <si>
    <t>Martin</t>
  </si>
  <si>
    <t>quantity surveyort</t>
  </si>
  <si>
    <t>.</t>
  </si>
  <si>
    <t>Under Repair</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</si>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</sst>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m/d/yyyy"/>
    <numFmt numFmtId="167" formatCode="ddd\ dd\-mmm"/>
    <numFmt numFmtId="168" formatCode="dd\-mmm\ hh:mm"/>
  </numFmts>
  <fonts count="26" x14ac:knownFonts="1">
    <font>
      <sz val="11"/>
      <color theme="1"/>
      <name val="Calibri"/>
      <family val="2"/>
      <charset val="1"/>
    </font>
    <font>
      <b/>
      <sz val="14"/>
      <color theme="0"/>
      <name val="Calibri"/>
      <family val="2"/>
      <charset val="1"/>
    </font>
    <font>
      <b/>
      <sz val="11"/>
      <color rgb="FFC00000"/>
      <name val="Calibri"/>
      <family val="2"/>
      <charset val="1"/>
    </font>
    <font>
      <b/>
      <sz val="9"/>
      <color rgb="FF808080"/>
      <name val="Calibri"/>
      <family val="2"/>
      <charset val="1"/>
    </font>
    <font>
      <b/>
      <sz val="18"/>
      <color rgb="FF1F3864"/>
      <name val="Calibri"/>
      <family val="2"/>
      <charset val="1"/>
    </font>
    <font>
      <b/>
      <sz val="14"/>
      <color rgb="FF1F3864"/>
      <name val="Calibri"/>
      <family val="2"/>
    </font>
    <font>
      <sz val="9"/>
      <color rgb="FF808080"/>
      <name val="Calibri"/>
      <family val="2"/>
    </font>
    <font>
      <b/>
      <sz val="11"/>
      <color rgb="FFC00000"/>
      <name val="Calibri"/>
      <family val="2"/>
    </font>
    <font>
      <b/>
      <sz val="9"/>
      <color rgb="FF595959"/>
      <name val="Calibri"/>
      <family val="2"/>
    </font>
    <font>
      <b/>
      <sz val="18"/>
      <color rgb="FF1F3864"/>
      <name val="Calibri"/>
      <family val="2"/>
    </font>
    <font>
      <b/>
      <sz val="14"/>
      <color rgb="FF1F3864"/>
      <name val="Calibri"/>
      <family val="2"/>
      <charset val="1"/>
    </font>
    <font>
      <b/>
      <sz val="10"/>
      <color rgb="FFC00000"/>
      <name val="Calibri"/>
      <family val="2"/>
      <charset val="1"/>
    </font>
    <font>
      <i/>
      <sz val="9"/>
      <color rgb="FF808080"/>
      <name val="Calibri"/>
      <family val="2"/>
      <charset val="1"/>
    </font>
    <font>
      <b/>
      <sz val="10"/>
      <color rgb="FFFFFFFF"/>
      <name val="Calibri"/>
      <family val="2"/>
      <charset val="1"/>
    </font>
    <font>
      <b/>
      <sz val="10"/>
      <name val="Calibri"/>
      <family val="2"/>
      <charset val="1"/>
    </font>
    <font>
      <sz val="10"/>
      <name val="Calibri"/>
      <family val="2"/>
      <charset val="1"/>
    </font>
    <font>
      <b/>
      <sz val="10"/>
      <color rgb="FFFFFFFF"/>
      <name val="Calibri"/>
      <family val="2"/>
    </font>
    <font>
      <b/>
      <sz val="10"/>
      <color rgb="FF008000"/>
      <name val="Calibri"/>
      <family val="2"/>
    </font>
    <font>
      <sz val="10"/>
      <color rgb="FF008000"/>
      <name val="Calibri"/>
      <family val="2"/>
    </font>
    <font>
      <sz val="10"/>
      <color rgb="FF0000FF"/>
      <name val="Calibri"/>
      <family val="2"/>
    </font>
    <font>
      <sz val="10"/>
      <name val="Calibri"/>
      <family val="2"/>
    </font>
    <font>
      <b/>
      <sz val="10"/>
      <name val="Calibri"/>
      <family val="2"/>
    </font>
    <font>
      <sz val="10"/>
      <color rgb="FF0000FF"/>
      <name val="Calibri"/>
      <family val="2"/>
      <charset val="1"/>
    </font>
    <font>
      <sz val="10"/>
      <color rgb="FF006100"/>
      <name val="Calibri"/>
      <family val="2"/>
      <charset val="1"/>
    </font>
    <font>
      <b/>
      <sz val="10"/>
      <color rgb="FFC00000"/>
      <name val="Calibri"/>
      <family val="2"/>
    </font>
    <font>
      <b/>
      <sz val="10"/>
      <color rgb="FF0000FF"/>
      <name val="Calibri"/>
      <family val="2"/>
    </font>
  </fonts>
  <fills count="6">
    <fill>
      <patternFill patternType="none"/>
    </fill>
    <fill>
      <patternFill patternType="gray125"/>
    </fill>
    <fill>
      <patternFill patternType="solid">
        <fgColor theme="0" tint="-0.499984740745262"/>
        <bgColor rgb="FF878787"/>
      </patternFill>
    </fill>
    <fill>
      <patternFill patternType="solid">
        <fgColor rgb="FF1F3864"/>
        <bgColor rgb="FF333399"/>
      </patternFill>
    </fill>
    <fill>
      <patternFill patternType="solid">
        <fgColor rgb="FFD9D9D9"/>
        <bgColor rgb="FFDDEBF7"/>
      </patternFill>
    </fill>
    <fill>
      <patternFill patternType="solid">
        <fgColor rgb="FFDDEBF7"/>
        <bgColor rgb="FFD9D9D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1">
    <xf numFmtId="0" fontId="0" fillId="0" borderId="0"/>
  </cellStyleXfs>
  <cellXfs count="104">
    <xf numFmtId="0" fontId="0" fillId="0" borderId="0" xfId="0"/>
    <xf numFmtId="0" fontId="0" fillId="0" borderId="0" xfId="0" applyAlignment="1">
      <alignment horizontal="left" vertical="center"/>
    </xf>
    <xf numFmtId="0" fontId="16" fillId="3" borderId="1" xfId="0" applyFont="1" applyFill="1" applyBorder="1" applyAlignment="1">
      <alignment horizontal="center" vertical="center" wrapText="1"/>
    </xf>
    <xf numFmtId="0" fontId="0" fillId="2" borderId="0" xfId="0" applyFill="1"/>
    <xf numFmtId="0" fontId="1" fillId="2" borderId="0" xfId="0" applyFont="1" applyFill="1"/>
    <xf numFmtId="0" fontId="2" fillId="2" borderId="0" xfId="0" applyFont="1" applyFill="1"/>
    <xf numFmtId="0" fontId="3" fillId="2" borderId="0" xfId="0" applyFont="1" applyFill="1"/>
    <xf numFmtId="164" fontId="4" fillId="2" borderId="0" xfId="0" applyNumberFormat="1" applyFont="1" applyFill="1"/>
    <xf numFmtId="1" fontId="4" fillId="2" borderId="0" xfId="0" applyNumberFormat="1" applyFont="1" applyFill="1"/>
    <xf numFmtId="165" fontId="4" fillId="2" borderId="0" xfId="0" applyNumberFormat="1" applyFont="1" applyFill="1"/>
    <xf numFmtId="0" fontId="5" fillId="2" borderId="0" xfId="0" applyFont="1" applyFill="1"/>
    <xf numFmtId="0" fontId="6" fillId="2" borderId="0" xfId="0" applyFont="1" applyFill="1"/>
    <xf numFmtId="0" fontId="7" fillId="2" borderId="0" xfId="0" applyFont="1" applyFill="1"/>
    <xf numFmtId="0" fontId="10" fillId="0" borderId="0" xfId="0" applyFont="1"/>
    <xf numFmtId="0" fontId="11" fillId="0" borderId="0" xfId="0" applyFont="1"/>
    <xf numFmtId="0" fontId="12" fillId="0" borderId="0" xfId="0" applyFont="1"/>
    <xf numFmtId="0" fontId="13" fillId="3" borderId="1" xfId="0" applyFont="1" applyFill="1" applyBorder="1" applyAlignment="1">
      <alignment horizontal="center" vertical="center" wrapText="1"/>
    </xf>
    <xf numFmtId="0" fontId="14" fillId="0" borderId="1" xfId="0" applyFont="1" applyBorder="1"/>
    <xf numFmtId="0" fontId="15" fillId="0" borderId="1" xfId="0" applyFont="1" applyBorder="1"/>
    <xf numFmtId="165" fontId="15" fillId="0" borderId="1" xfId="0" applyNumberFormat="1" applyFont="1" applyBorder="1"/>
    <xf numFmtId="9" fontId="15" fillId="0" borderId="1" xfId="0" applyNumberFormat="1" applyFont="1" applyBorder="1"/>
    <xf numFmtId="164" fontId="15" fillId="0" borderId="1" xfId="0" applyNumberFormat="1" applyFont="1" applyBorder="1"/>
    <xf numFmtId="0" fontId="15" fillId="0" borderId="1" xfId="0" applyFont="1" applyBorder="1" applyAlignment="1">
      <alignment horizontal="center"/>
    </xf>
    <xf numFmtId="0" fontId="14" fillId="4" borderId="1" xfId="0" applyFont="1" applyFill="1" applyBorder="1"/>
    <xf numFmtId="165" fontId="14" fillId="4" borderId="1" xfId="0" applyNumberFormat="1" applyFont="1" applyFill="1" applyBorder="1"/>
    <xf numFmtId="9" fontId="14" fillId="4" borderId="1" xfId="0" applyNumberFormat="1" applyFont="1" applyFill="1" applyBorder="1"/>
    <xf numFmtId="164" fontId="14" fillId="4" borderId="1" xfId="0" applyNumberFormat="1" applyFont="1" applyFill="1" applyBorder="1"/>
    <xf numFmtId="164" fontId="0" fillId="0" borderId="1" xfId="0" applyNumberFormat="1" applyBorder="1"/>
    <xf numFmtId="0" fontId="0" fillId="0" borderId="1" xfId="0" applyBorder="1" applyAlignment="1">
      <alignment horizontal="center"/>
    </xf>
    <xf numFmtId="165" fontId="0" fillId="0" borderId="1" xfId="0" applyNumberFormat="1" applyBorder="1"/>
    <xf numFmtId="0" fontId="7" fillId="0" borderId="0" xfId="0" applyFont="1"/>
    <xf numFmtId="0" fontId="6" fillId="0" borderId="0" xfId="0" applyFont="1"/>
    <xf numFmtId="0" fontId="17" fillId="0" borderId="1" xfId="0" applyFont="1" applyBorder="1" applyAlignment="1">
      <alignment vertical="center"/>
    </xf>
    <xf numFmtId="0" fontId="18" fillId="0" borderId="1" xfId="0" applyFont="1" applyBorder="1" applyAlignment="1">
      <alignment vertical="center"/>
    </xf>
    <xf numFmtId="0" fontId="18" fillId="0" borderId="1" xfId="0" applyFont="1" applyBorder="1" applyAlignment="1">
      <alignment horizontal="center" vertical="center"/>
    </xf>
    <xf numFmtId="165" fontId="19" fillId="5" borderId="1" xfId="0" applyNumberFormat="1" applyFont="1" applyFill="1" applyBorder="1" applyAlignment="1">
      <alignment horizontal="center" vertical="center"/>
    </xf>
    <xf numFmtId="165" fontId="20" fillId="0" borderId="1" xfId="0" applyNumberFormat="1" applyFont="1" applyBorder="1" applyAlignment="1">
      <alignment vertical="center"/>
    </xf>
    <xf numFmtId="164" fontId="20" fillId="0" borderId="1" xfId="0" applyNumberFormat="1" applyFont="1" applyBorder="1" applyAlignment="1">
      <alignment vertical="center"/>
    </xf>
    <xf numFmtId="0" fontId="21" fillId="0" borderId="1" xfId="0" applyFont="1" applyBorder="1" applyAlignment="1">
      <alignment horizontal="center" vertical="center"/>
    </xf>
    <xf numFmtId="0" fontId="21" fillId="4" borderId="1" xfId="0" applyFont="1" applyFill="1" applyBorder="1" applyAlignment="1">
      <alignment vertical="center"/>
    </xf>
    <xf numFmtId="0" fontId="0" fillId="4" borderId="0" xfId="0" applyFill="1"/>
    <xf numFmtId="165" fontId="21" fillId="4" borderId="1" xfId="0" applyNumberFormat="1" applyFont="1" applyFill="1" applyBorder="1" applyAlignment="1">
      <alignment vertical="center"/>
    </xf>
    <xf numFmtId="164" fontId="21" fillId="4" borderId="1" xfId="0" applyNumberFormat="1" applyFont="1" applyFill="1" applyBorder="1" applyAlignment="1">
      <alignment vertical="center"/>
    </xf>
    <xf numFmtId="0" fontId="20" fillId="4" borderId="1" xfId="0" applyFont="1" applyFill="1" applyBorder="1" applyAlignment="1">
      <alignment vertical="center"/>
    </xf>
    <xf numFmtId="0" fontId="2" fillId="0" borderId="0" xfId="0" applyFont="1"/>
    <xf numFmtId="165" fontId="22" fillId="5" borderId="1" xfId="0" applyNumberFormat="1" applyFont="1" applyFill="1" applyBorder="1" applyAlignment="1">
      <alignment horizontal="center"/>
    </xf>
    <xf numFmtId="165" fontId="23" fillId="0" borderId="1" xfId="0" applyNumberFormat="1" applyFont="1" applyBorder="1" applyAlignment="1">
      <alignment horizontal="center"/>
    </xf>
    <xf numFmtId="9" fontId="22" fillId="5" borderId="1" xfId="0" applyNumberFormat="1" applyFont="1" applyFill="1" applyBorder="1" applyAlignment="1">
      <alignment horizontal="center"/>
    </xf>
    <xf numFmtId="0" fontId="21" fillId="0" borderId="1" xfId="0" applyFont="1" applyBorder="1"/>
    <xf numFmtId="164" fontId="19" fillId="5" borderId="1" xfId="0" applyNumberFormat="1" applyFont="1" applyFill="1" applyBorder="1" applyAlignment="1">
      <alignment horizontal="center" vertical="center"/>
    </xf>
    <xf numFmtId="3" fontId="19" fillId="5" borderId="1" xfId="0" applyNumberFormat="1" applyFont="1" applyFill="1" applyBorder="1" applyAlignment="1">
      <alignment horizontal="center" vertical="center"/>
    </xf>
    <xf numFmtId="0" fontId="21" fillId="0" borderId="1" xfId="0" applyFont="1" applyBorder="1" applyAlignment="1">
      <alignment vertical="center"/>
    </xf>
    <xf numFmtId="0" fontId="20" fillId="0" borderId="1" xfId="0" applyFont="1" applyBorder="1" applyAlignment="1">
      <alignment vertical="center"/>
    </xf>
    <xf numFmtId="166" fontId="22" fillId="5" borderId="1" xfId="0" applyNumberFormat="1" applyFont="1" applyFill="1" applyBorder="1" applyAlignment="1">
      <alignment horizontal="center"/>
    </xf>
    <xf numFmtId="0" fontId="22" fillId="5" borderId="1" xfId="0" applyFont="1" applyFill="1" applyBorder="1" applyAlignment="1">
      <alignment horizontal="center"/>
    </xf>
    <xf numFmtId="165" fontId="22" fillId="5" borderId="1" xfId="0" applyNumberFormat="1" applyFont="1" applyFill="1" applyBorder="1"/>
    <xf numFmtId="0" fontId="22" fillId="5" borderId="1" xfId="0" applyFont="1" applyFill="1" applyBorder="1"/>
    <xf numFmtId="0" fontId="22" fillId="0" borderId="1" xfId="0" applyFont="1" applyBorder="1"/>
    <xf numFmtId="0" fontId="5" fillId="0" borderId="0" xfId="0" applyFont="1"/>
    <xf numFmtId="0" fontId="24" fillId="0" borderId="0" xfId="0" applyFont="1"/>
    <xf numFmtId="167" fontId="18" fillId="0" borderId="1" xfId="0" applyNumberFormat="1" applyFont="1" applyBorder="1" applyAlignment="1">
      <alignment horizontal="center" vertical="center"/>
    </xf>
    <xf numFmtId="0" fontId="19" fillId="5" borderId="1" xfId="0" applyFont="1" applyFill="1" applyBorder="1" applyAlignment="1">
      <alignment horizontal="center" vertical="center"/>
    </xf>
    <xf numFmtId="165" fontId="20" fillId="0" borderId="1" xfId="0" applyNumberFormat="1" applyFont="1" applyBorder="1" applyAlignment="1">
      <alignment horizontal="center" vertical="center"/>
    </xf>
    <xf numFmtId="165" fontId="18" fillId="0" borderId="1" xfId="0" applyNumberFormat="1" applyFont="1" applyBorder="1" applyAlignment="1">
      <alignment horizontal="center" vertical="center"/>
    </xf>
    <xf numFmtId="3" fontId="21" fillId="4" borderId="1" xfId="0" applyNumberFormat="1" applyFont="1" applyFill="1" applyBorder="1" applyAlignment="1">
      <alignment horizontal="center" vertical="center"/>
    </xf>
    <xf numFmtId="165" fontId="21" fillId="4" borderId="1" xfId="0" applyNumberFormat="1" applyFont="1" applyFill="1" applyBorder="1" applyAlignment="1">
      <alignment horizontal="center" vertical="center"/>
    </xf>
    <xf numFmtId="0" fontId="20" fillId="0" borderId="1" xfId="0" applyFont="1" applyBorder="1" applyAlignment="1">
      <alignment horizontal="center" vertical="center"/>
    </xf>
    <xf numFmtId="0" fontId="25" fillId="5" borderId="1" xfId="0" applyFont="1" applyFill="1" applyBorder="1" applyAlignment="1">
      <alignment horizontal="center" vertical="center"/>
    </xf>
    <xf numFmtId="15" fontId="19" fillId="5" borderId="1" xfId="0" applyNumberFormat="1" applyFont="1" applyFill="1" applyBorder="1" applyAlignment="1">
      <alignment horizontal="center" vertical="center"/>
    </xf>
    <xf numFmtId="15" fontId="18" fillId="0" borderId="1" xfId="0" applyNumberFormat="1" applyFont="1" applyBorder="1" applyAlignment="1">
      <alignment horizontal="center" vertical="center"/>
    </xf>
    <xf numFmtId="3" fontId="20" fillId="0" borderId="1" xfId="0" applyNumberFormat="1" applyFont="1" applyBorder="1" applyAlignment="1">
      <alignment horizontal="center" vertical="center"/>
    </xf>
    <xf numFmtId="0" fontId="19" fillId="5" borderId="1" xfId="0" applyFont="1" applyFill="1" applyBorder="1" applyAlignment="1">
      <alignment horizontal="left" vertical="center"/>
    </xf>
    <xf numFmtId="168" fontId="19" fillId="5" borderId="1" xfId="0" applyNumberFormat="1" applyFont="1" applyFill="1" applyBorder="1" applyAlignment="1">
      <alignment horizontal="center" vertical="center"/>
    </xf>
    <xf numFmtId="164" fontId="20" fillId="0" borderId="1" xfId="0" applyNumberFormat="1" applyFont="1" applyBorder="1" applyAlignment="1">
      <alignment horizontal="center" vertical="center"/>
    </xf>
    <xf numFmtId="165" fontId="18" fillId="0" borderId="1" xfId="0" applyNumberFormat="1" applyFont="1" applyBorder="1" applyAlignment="1">
      <alignment vertical="center"/>
    </xf>
    <xf numFmtId="3" fontId="20" fillId="0" borderId="1" xfId="0" applyNumberFormat="1" applyFont="1" applyBorder="1" applyAlignment="1">
      <alignment vertical="center"/>
    </xf>
    <xf numFmtId="0" fontId="0" fillId="4" borderId="1" xfId="0" applyFill="1" applyBorder="1"/>
    <xf numFmtId="3" fontId="21" fillId="4" borderId="1" xfId="0" applyNumberFormat="1" applyFont="1" applyFill="1" applyBorder="1" applyAlignment="1">
      <alignment vertical="center"/>
    </xf>
    <xf numFmtId="164" fontId="21" fillId="4" borderId="1" xfId="0" applyNumberFormat="1" applyFont="1" applyFill="1" applyBorder="1" applyAlignment="1">
      <alignment horizontal="center" vertical="center"/>
    </xf>
    <xf numFmtId="0" fontId="14" fillId="0" borderId="0" xfId="0" applyFont="1"/>
    <xf numFmtId="0" fontId="23" fillId="0" borderId="1" xfId="0" applyFont="1" applyBorder="1" applyAlignment="1">
      <alignment horizontal="center"/>
    </xf>
    <xf numFmtId="4" fontId="19" fillId="5" borderId="1" xfId="0" applyNumberFormat="1" applyFont="1" applyFill="1" applyBorder="1"/>
    <xf numFmtId="0" fontId="0" fillId="0" borderId="1" xfId="0" applyBorder="1"/>
    <xf numFmtId="164" fontId="19" fillId="5" borderId="1" xfId="0" applyNumberFormat="1" applyFont="1" applyFill="1" applyBorder="1"/>
    <xf numFmtId="0" fontId="13" fillId="3" borderId="2" xfId="0" applyFont="1" applyFill="1" applyBorder="1" applyAlignment="1">
      <alignment horizontal="center" vertical="center" wrapText="1"/>
    </xf>
    <xf numFmtId="0" fontId="14" fillId="0" borderId="2" xfId="0" applyFont="1" applyBorder="1"/>
    <xf numFmtId="0" fontId="15" fillId="0" borderId="2" xfId="0" applyFont="1" applyBorder="1"/>
    <xf numFmtId="0" fontId="0" fillId="0" borderId="2" xfId="0" applyBorder="1"/>
    <xf numFmtId="0" fontId="14" fillId="0" borderId="1" xfId="0" applyFont="1" applyBorder="1" applyAlignment="1">
      <alignment horizontal="center"/>
    </xf>
    <xf numFmtId="0" fontId="12" fillId="0" borderId="1" xfId="0" applyFont="1" applyBorder="1"/>
    <xf numFmtId="0" fontId="20" fillId="0" borderId="1" xfId="0" applyFont="1" applyBorder="1"/>
    <xf numFmtId="0" fontId="21" fillId="0" borderId="1" xfId="0" applyFont="1" applyBorder="1" applyAlignment="1">
      <alignment horizontal="center"/>
    </xf>
    <xf numFmtId="0" fontId="20" fillId="0" borderId="0" xfId="0" applyFont="1" applyAlignment="1">
      <alignment vertical="top" wrapText="1"/>
    </xf>
    <xf numFmtId="3" fontId="9" fillId="2" borderId="0" xfId="0" applyNumberFormat="1" applyFont="1" applyFill="1"/>
    <xf numFmtId="165" fontId="9" fillId="2" borderId="0" xfId="0" applyNumberFormat="1" applyFont="1" applyFill="1"/>
    <xf numFmtId="164" fontId="9" fillId="2" borderId="0" xfId="0" applyNumberFormat="1" applyFont="1" applyFill="1"/>
    <xf numFmtId="0" fontId="8" fillId="2" borderId="0" xfId="0" applyFont="1" applyFill="1"/>
    <xf numFmtId="165" fontId="8" fillId="2" borderId="0" xfId="0" applyNumberFormat="1" applyFont="1" applyFill="1"/>
    <xf numFmtId="164" fontId="8" fillId="2" borderId="0" xfId="0" applyNumberFormat="1" applyFont="1" applyFill="1"/>
    <xf numFmtId="0" fontId="20" fillId="0" borderId="1" xfId="0" applyFont="1" applyBorder="1" applyAlignment="1">
      <alignment horizontal="left" vertical="center"/>
    </xf>
    <xf numFmtId="0" fontId="0" fillId="0" borderId="0" xfId="0" applyAlignment="1">
      <alignment horizontal="left" vertical="center"/>
    </xf>
    <xf numFmtId="0" fontId="16" fillId="3" borderId="1" xfId="0" applyFont="1" applyFill="1" applyBorder="1" applyAlignment="1">
      <alignment horizontal="left" vertical="center"/>
    </xf>
    <xf numFmtId="0" fontId="16" fillId="3" borderId="1" xfId="0" applyFont="1" applyFill="1" applyBorder="1" applyAlignment="1">
      <alignment horizontal="center" vertical="center" wrapText="1"/>
    </xf>
    <xf numFmtId="0" fontId="21" fillId="0" borderId="1" xfId="0" applyFont="1" applyBorder="1" applyAlignment="1">
      <alignment horizontal="left" vertical="center"/>
    </xf>
  </cellXfs>
  <cellStyles count="1">
    <cellStyle name="Normal" xfId="0" builtinId="0"/>
  </cellStyles>
  <dxfs count="52">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9C0006"/>
      </font>
      <fill>
        <patternFill>
          <bgColor rgb="FFFFC7CE"/>
        </patternFill>
      </fill>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9C0006"/>
      </font>
      <fill>
        <patternFill>
          <bgColor rgb="FFFFC7CE"/>
        </patternFill>
      </fill>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9C6500"/>
      <rgbColor rgb="FF800080"/>
      <rgbColor rgb="FF008080"/>
      <rgbColor rgb="FFBFBFBF"/>
      <rgbColor rgb="FF808080"/>
      <rgbColor rgb="FF9999FF"/>
      <rgbColor rgb="FF993366"/>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B3B3B3"/>
      <rgbColor rgb="FFFF99CC"/>
      <rgbColor rgb="FFCC99FF"/>
      <rgbColor rgb="FFFFC7CE"/>
      <rgbColor rgb="FF4F81BD"/>
      <rgbColor rgb="FF33CCCC"/>
      <rgbColor rgb="FF99CC00"/>
      <rgbColor rgb="FFFFC000"/>
      <rgbColor rgb="FFFF9900"/>
      <rgbColor rgb="FFC55A11"/>
      <rgbColor rgb="FF595959"/>
      <rgbColor rgb="FF878787"/>
      <rgbColor rgb="FF1F3864"/>
      <rgbColor rgb="FF339966"/>
      <rgbColor rgb="FF006100"/>
      <rgbColor rgb="FF333300"/>
      <rgbColor rgb="FF9C5700"/>
      <rgbColor rgb="FF993366"/>
      <rgbColor rgb="FF333399"/>
      <rgbColor rgb="FF375623"/>
      <rgbColor rgb="00003366"/>
      <rgbColor rgb="00339966"/>
      <rgbColor rgb="00003300"/>
      <rgbColor rgb="00333300"/>
      <rgbColor rgb="00993300"/>
      <rgbColor rgb="00993366"/>
      <rgbColor rgb="00333399"/>
      <rgbColor rgb="00333333"/>
    </indexed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1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CRT220  -  CAT 773 RDT</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1F3864"/>
              </a:solidFill>
              <a:ln w="0">
                <a:noFill/>
              </a:ln>
            </c:spPr>
            <c:extLst>
              <c:ext xmlns:c16="http://schemas.microsoft.com/office/drawing/2014/chart" uri="{C3380CC4-5D6E-409C-BE32-E72D297353CC}">
                <c16:uniqueId val="{00000001-795B-4220-A66E-62C2A44BDFDD}"/>
              </c:ext>
            </c:extLst>
          </c:dPt>
          <c:dPt>
            <c:idx val="1"/>
            <c:bubble3D val="0"/>
            <c:spPr>
              <a:solidFill>
                <a:srgbClr val="FFC000"/>
              </a:solidFill>
              <a:ln w="0">
                <a:noFill/>
              </a:ln>
            </c:spPr>
            <c:extLst>
              <c:ext xmlns:c16="http://schemas.microsoft.com/office/drawing/2014/chart" uri="{C3380CC4-5D6E-409C-BE32-E72D297353CC}">
                <c16:uniqueId val="{00000003-795B-4220-A66E-62C2A44BDFDD}"/>
              </c:ext>
            </c:extLst>
          </c:dPt>
          <c:dLbls>
            <c:dLbl>
              <c:idx val="0"/>
              <c:layout>
                <c:manualLayout>
                  <c:x val="3.5351851851851582E-3"/>
                  <c:y val="0.1723755285001202"/>
                </c:manualLayout>
              </c:layout>
              <c:spPr/>
              <c:txPr>
                <a:bodyPr wrap="square"/>
                <a:lstStyle/>
                <a:p>
                  <a:pPr>
                    <a:defRPr sz="1200" b="1"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72323518518518515"/>
                      <c:h val="0.13056250795401519"/>
                    </c:manualLayout>
                  </c15:layout>
                </c:ext>
                <c:ext xmlns:c16="http://schemas.microsoft.com/office/drawing/2014/chart" uri="{C3380CC4-5D6E-409C-BE32-E72D297353CC}">
                  <c16:uniqueId val="{00000001-795B-4220-A66E-62C2A44BDFDD}"/>
                </c:ext>
              </c:extLst>
            </c:dLbl>
            <c:dLbl>
              <c:idx val="1"/>
              <c:layout>
                <c:manualLayout>
                  <c:x val="0.35114437121102782"/>
                  <c:y val="1.6713465833245129E-2"/>
                </c:manualLayout>
              </c:layou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33495689218983032"/>
                      <c:h val="0.15270536616308394"/>
                    </c:manualLayout>
                  </c15:layout>
                </c:ext>
                <c:ext xmlns:c16="http://schemas.microsoft.com/office/drawing/2014/chart" uri="{C3380CC4-5D6E-409C-BE32-E72D297353CC}">
                  <c16:uniqueId val="{00000003-795B-4220-A66E-62C2A44BDFDD}"/>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0"/>
            <c:extLst>
              <c:ext xmlns:c15="http://schemas.microsoft.com/office/drawing/2012/chart" uri="{CE6537A1-D6FC-4f65-9D91-7224C49458BB}"/>
            </c:extLst>
          </c:dLbls>
          <c:cat>
            <c:strRef>
              <c:f>'FLEET SUMMARY'!$C$15:$D$15</c:f>
              <c:strCache>
                <c:ptCount val="2"/>
                <c:pt idx="0">
                  <c:v>ACHIEVED</c:v>
                </c:pt>
                <c:pt idx="1">
                  <c:v>SHORTFALL</c:v>
                </c:pt>
              </c:strCache>
            </c:strRef>
          </c:cat>
          <c:val>
            <c:numRef>
              <c:f>'FLEET SUMMARY'!$C$16:$D$16</c:f>
              <c:numCache>
                <c:formatCode>0.0%</c:formatCode>
                <c:ptCount val="2"/>
                <c:pt idx="0">
                  <c:v>0</c:v>
                </c:pt>
                <c:pt idx="1">
                  <c:v>1</c:v>
                </c:pt>
              </c:numCache>
            </c:numRef>
          </c:val>
          <c:extLst>
            <c:ext xmlns:c16="http://schemas.microsoft.com/office/drawing/2014/chart" uri="{C3380CC4-5D6E-409C-BE32-E72D297353CC}">
              <c16:uniqueId val="{00000004-795B-4220-A66E-62C2A44BDFDD}"/>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CRT221  -  CAT 773 RDT</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1F3864"/>
              </a:solidFill>
              <a:ln w="0">
                <a:noFill/>
              </a:ln>
            </c:spPr>
            <c:extLst>
              <c:ext xmlns:c16="http://schemas.microsoft.com/office/drawing/2014/chart" uri="{C3380CC4-5D6E-409C-BE32-E72D297353CC}">
                <c16:uniqueId val="{00000001-4A68-460B-8D54-FB5F2C73B376}"/>
              </c:ext>
            </c:extLst>
          </c:dPt>
          <c:dPt>
            <c:idx val="1"/>
            <c:bubble3D val="0"/>
            <c:spPr>
              <a:solidFill>
                <a:srgbClr val="FFC000"/>
              </a:solidFill>
              <a:ln w="0">
                <a:noFill/>
              </a:ln>
            </c:spPr>
            <c:extLst>
              <c:ext xmlns:c16="http://schemas.microsoft.com/office/drawing/2014/chart" uri="{C3380CC4-5D6E-409C-BE32-E72D297353CC}">
                <c16:uniqueId val="{00000003-4A68-460B-8D54-FB5F2C73B376}"/>
              </c:ext>
            </c:extLst>
          </c:dPt>
          <c:dLbls>
            <c:dLbl>
              <c:idx val="0"/>
              <c:layout>
                <c:manualLayout>
                  <c:x val="-0.10906585366415715"/>
                  <c:y val="0.11188751665362573"/>
                </c:manualLayout>
              </c:layout>
              <c:spPr/>
              <c:txPr>
                <a:bodyPr wrap="square"/>
                <a:lstStyle/>
                <a:p>
                  <a:pPr>
                    <a:defRPr sz="1200" b="1"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77794569382897005"/>
                      <c:h val="0.14458166797076008"/>
                    </c:manualLayout>
                  </c15:layout>
                </c:ext>
                <c:ext xmlns:c16="http://schemas.microsoft.com/office/drawing/2014/chart" uri="{C3380CC4-5D6E-409C-BE32-E72D297353CC}">
                  <c16:uniqueId val="{00000001-4A68-460B-8D54-FB5F2C73B376}"/>
                </c:ext>
              </c:extLst>
            </c:dLbl>
            <c:dLbl>
              <c:idx val="1"/>
              <c:layout>
                <c:manualLayout>
                  <c:x val="0.53543266804471501"/>
                  <c:y val="6.266697682943162E-2"/>
                </c:manualLayout>
              </c:layou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4A68-460B-8D54-FB5F2C73B376}"/>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0"/>
            <c:extLst>
              <c:ext xmlns:c15="http://schemas.microsoft.com/office/drawing/2012/chart" uri="{CE6537A1-D6FC-4f65-9D91-7224C49458BB}"/>
            </c:extLst>
          </c:dLbls>
          <c:cat>
            <c:strRef>
              <c:f>'FLEET SUMMARY'!$C$15:$D$15</c:f>
              <c:strCache>
                <c:ptCount val="2"/>
                <c:pt idx="0">
                  <c:v>ACHIEVED</c:v>
                </c:pt>
                <c:pt idx="1">
                  <c:v>SHORTFALL</c:v>
                </c:pt>
              </c:strCache>
            </c:strRef>
          </c:cat>
          <c:val>
            <c:numRef>
              <c:f>'FLEET SUMMARY'!$C$17:$D$17</c:f>
              <c:numCache>
                <c:formatCode>0.0%</c:formatCode>
                <c:ptCount val="2"/>
                <c:pt idx="0">
                  <c:v>0.29390681003584229</c:v>
                </c:pt>
                <c:pt idx="1">
                  <c:v>0.70609318996415771</c:v>
                </c:pt>
              </c:numCache>
            </c:numRef>
          </c:val>
          <c:extLst>
            <c:ext xmlns:c16="http://schemas.microsoft.com/office/drawing/2014/chart" uri="{C3380CC4-5D6E-409C-BE32-E72D297353CC}">
              <c16:uniqueId val="{00000004-4A68-460B-8D54-FB5F2C73B376}"/>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CRT222  -  CAT 773 RDT</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1F3864"/>
              </a:solidFill>
              <a:ln w="0">
                <a:noFill/>
              </a:ln>
            </c:spPr>
            <c:extLst>
              <c:ext xmlns:c16="http://schemas.microsoft.com/office/drawing/2014/chart" uri="{C3380CC4-5D6E-409C-BE32-E72D297353CC}">
                <c16:uniqueId val="{00000001-0A21-4393-9B2C-9E62C47D2ACD}"/>
              </c:ext>
            </c:extLst>
          </c:dPt>
          <c:dPt>
            <c:idx val="1"/>
            <c:bubble3D val="0"/>
            <c:spPr>
              <a:solidFill>
                <a:srgbClr val="FFC000"/>
              </a:solidFill>
              <a:ln w="0">
                <a:noFill/>
              </a:ln>
            </c:spPr>
            <c:extLst>
              <c:ext xmlns:c16="http://schemas.microsoft.com/office/drawing/2014/chart" uri="{C3380CC4-5D6E-409C-BE32-E72D297353CC}">
                <c16:uniqueId val="{00000003-0A21-4393-9B2C-9E62C47D2ACD}"/>
              </c:ext>
            </c:extLst>
          </c:dPt>
          <c:dLbls>
            <c:dLbl>
              <c:idx val="0"/>
              <c:layout>
                <c:manualLayout>
                  <c:x val="-0.10240612756568075"/>
                  <c:y val="0.13618581993150364"/>
                </c:manualLayout>
              </c:layout>
              <c:spPr/>
              <c:txPr>
                <a:bodyPr wrap="square"/>
                <a:lstStyle/>
                <a:p>
                  <a:pPr>
                    <a:defRPr sz="1200" b="1"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74896287604927558"/>
                      <c:h val="0.10396264734972879"/>
                    </c:manualLayout>
                  </c15:layout>
                </c:ext>
                <c:ext xmlns:c16="http://schemas.microsoft.com/office/drawing/2014/chart" uri="{C3380CC4-5D6E-409C-BE32-E72D297353CC}">
                  <c16:uniqueId val="{00000001-0A21-4393-9B2C-9E62C47D2ACD}"/>
                </c:ext>
              </c:extLst>
            </c:dLbl>
            <c:dLbl>
              <c:idx val="1"/>
              <c:layout>
                <c:manualLayout>
                  <c:x val="0.54318219677017066"/>
                  <c:y val="6.6963344159952753E-2"/>
                </c:manualLayout>
              </c:layou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0A21-4393-9B2C-9E62C47D2ACD}"/>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0"/>
            <c:extLst>
              <c:ext xmlns:c15="http://schemas.microsoft.com/office/drawing/2012/chart" uri="{CE6537A1-D6FC-4f65-9D91-7224C49458BB}"/>
            </c:extLst>
          </c:dLbls>
          <c:cat>
            <c:strRef>
              <c:f>'FLEET SUMMARY'!$C$15:$D$15</c:f>
              <c:strCache>
                <c:ptCount val="2"/>
                <c:pt idx="0">
                  <c:v>ACHIEVED</c:v>
                </c:pt>
                <c:pt idx="1">
                  <c:v>SHORTFALL</c:v>
                </c:pt>
              </c:strCache>
            </c:strRef>
          </c:cat>
          <c:val>
            <c:numRef>
              <c:f>'FLEET SUMMARY'!$C$18:$D$18</c:f>
              <c:numCache>
                <c:formatCode>0.0%</c:formatCode>
                <c:ptCount val="2"/>
                <c:pt idx="0">
                  <c:v>0.2025089605734767</c:v>
                </c:pt>
                <c:pt idx="1">
                  <c:v>0.79749103942652333</c:v>
                </c:pt>
              </c:numCache>
            </c:numRef>
          </c:val>
          <c:extLst>
            <c:ext xmlns:c16="http://schemas.microsoft.com/office/drawing/2014/chart" uri="{C3380CC4-5D6E-409C-BE32-E72D297353CC}">
              <c16:uniqueId val="{00000004-0A21-4393-9B2C-9E62C47D2ACD}"/>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CRT224  -  CAT 395 Excavator</a:t>
            </a:r>
          </a:p>
        </c:rich>
      </c:tx>
      <c:layout>
        <c:manualLayout>
          <c:xMode val="edge"/>
          <c:yMode val="edge"/>
          <c:x val="0.17147270854788901"/>
          <c:y val="9.4022834116857003E-3"/>
        </c:manualLayout>
      </c:layout>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1F3864"/>
              </a:solidFill>
              <a:ln w="0">
                <a:noFill/>
              </a:ln>
            </c:spPr>
            <c:extLst>
              <c:ext xmlns:c16="http://schemas.microsoft.com/office/drawing/2014/chart" uri="{C3380CC4-5D6E-409C-BE32-E72D297353CC}">
                <c16:uniqueId val="{00000001-66B3-45BE-8801-1B813B5A8EF7}"/>
              </c:ext>
            </c:extLst>
          </c:dPt>
          <c:dPt>
            <c:idx val="1"/>
            <c:bubble3D val="0"/>
            <c:spPr>
              <a:solidFill>
                <a:srgbClr val="FFC000"/>
              </a:solidFill>
              <a:ln w="0">
                <a:noFill/>
              </a:ln>
            </c:spPr>
            <c:extLst>
              <c:ext xmlns:c16="http://schemas.microsoft.com/office/drawing/2014/chart" uri="{C3380CC4-5D6E-409C-BE32-E72D297353CC}">
                <c16:uniqueId val="{00000003-66B3-45BE-8801-1B813B5A8EF7}"/>
              </c:ext>
            </c:extLst>
          </c:dPt>
          <c:dLbls>
            <c:dLbl>
              <c:idx val="0"/>
              <c:layout>
                <c:manualLayout>
                  <c:x val="-0.10438175610530734"/>
                  <c:y val="3.8124778165675145E-2"/>
                </c:manualLayout>
              </c:layout>
              <c:spPr/>
              <c:txPr>
                <a:bodyPr wrap="square"/>
                <a:lstStyle/>
                <a:p>
                  <a:pPr>
                    <a:defRPr sz="1200" b="1"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81001712775490298"/>
                      <c:h val="9.5535766315086826E-2"/>
                    </c:manualLayout>
                  </c15:layout>
                </c:ext>
                <c:ext xmlns:c16="http://schemas.microsoft.com/office/drawing/2014/chart" uri="{C3380CC4-5D6E-409C-BE32-E72D297353CC}">
                  <c16:uniqueId val="{00000001-66B3-45BE-8801-1B813B5A8EF7}"/>
                </c:ext>
              </c:extLst>
            </c:dLbl>
            <c:dLbl>
              <c:idx val="1"/>
              <c:layout>
                <c:manualLayout>
                  <c:x val="0.58171438626343175"/>
                  <c:y val="0.19286563152810962"/>
                </c:manualLayout>
              </c:layou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66B3-45BE-8801-1B813B5A8EF7}"/>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0"/>
            <c:extLst>
              <c:ext xmlns:c15="http://schemas.microsoft.com/office/drawing/2012/chart" uri="{CE6537A1-D6FC-4f65-9D91-7224C49458BB}"/>
            </c:extLst>
          </c:dLbls>
          <c:cat>
            <c:strRef>
              <c:f>'FLEET SUMMARY'!$C$15:$D$15</c:f>
              <c:strCache>
                <c:ptCount val="2"/>
                <c:pt idx="0">
                  <c:v>ACHIEVED</c:v>
                </c:pt>
                <c:pt idx="1">
                  <c:v>SHORTFALL</c:v>
                </c:pt>
              </c:strCache>
            </c:strRef>
          </c:cat>
          <c:val>
            <c:numRef>
              <c:f>'FLEET SUMMARY'!$C$19:$D$19</c:f>
              <c:numCache>
                <c:formatCode>0.0%</c:formatCode>
                <c:ptCount val="2"/>
                <c:pt idx="0">
                  <c:v>0.41397849462365593</c:v>
                </c:pt>
                <c:pt idx="1">
                  <c:v>0.58602150537634401</c:v>
                </c:pt>
              </c:numCache>
            </c:numRef>
          </c:val>
          <c:extLst>
            <c:ext xmlns:c16="http://schemas.microsoft.com/office/drawing/2014/chart" uri="{C3380CC4-5D6E-409C-BE32-E72D297353CC}">
              <c16:uniqueId val="{00000004-66B3-45BE-8801-1B813B5A8EF7}"/>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CRT225  -  CAT D9 Dozer</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1F3864"/>
              </a:solidFill>
              <a:ln w="0">
                <a:noFill/>
              </a:ln>
            </c:spPr>
            <c:extLst>
              <c:ext xmlns:c16="http://schemas.microsoft.com/office/drawing/2014/chart" uri="{C3380CC4-5D6E-409C-BE32-E72D297353CC}">
                <c16:uniqueId val="{00000001-ED31-4182-A6B5-C98E04A6C327}"/>
              </c:ext>
            </c:extLst>
          </c:dPt>
          <c:dPt>
            <c:idx val="1"/>
            <c:bubble3D val="0"/>
            <c:spPr>
              <a:solidFill>
                <a:srgbClr val="FFC000"/>
              </a:solidFill>
              <a:ln w="0">
                <a:noFill/>
              </a:ln>
            </c:spPr>
            <c:extLst>
              <c:ext xmlns:c16="http://schemas.microsoft.com/office/drawing/2014/chart" uri="{C3380CC4-5D6E-409C-BE32-E72D297353CC}">
                <c16:uniqueId val="{00000003-ED31-4182-A6B5-C98E04A6C327}"/>
              </c:ext>
            </c:extLst>
          </c:dPt>
          <c:dLbls>
            <c:dLbl>
              <c:idx val="0"/>
              <c:layout>
                <c:manualLayout>
                  <c:x val="-8.0552630447538492E-2"/>
                  <c:y val="0.14759863608567425"/>
                </c:manualLayout>
              </c:layout>
              <c:spPr/>
              <c:txPr>
                <a:bodyPr wrap="square"/>
                <a:lstStyle/>
                <a:p>
                  <a:pPr>
                    <a:defRPr sz="1200" b="1"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51881401604248734"/>
                      <c:h val="0.16060476366615217"/>
                    </c:manualLayout>
                  </c15:layout>
                </c:ext>
                <c:ext xmlns:c16="http://schemas.microsoft.com/office/drawing/2014/chart" uri="{C3380CC4-5D6E-409C-BE32-E72D297353CC}">
                  <c16:uniqueId val="{00000001-ED31-4182-A6B5-C98E04A6C327}"/>
                </c:ext>
              </c:extLst>
            </c:dLbl>
            <c:dLbl>
              <c:idx val="1"/>
              <c:layout>
                <c:manualLayout>
                  <c:x val="0.35608099267337207"/>
                  <c:y val="9.837964083684576E-3"/>
                </c:manualLayout>
              </c:layou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D31-4182-A6B5-C98E04A6C327}"/>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0"/>
            <c:extLst>
              <c:ext xmlns:c15="http://schemas.microsoft.com/office/drawing/2012/chart" uri="{CE6537A1-D6FC-4f65-9D91-7224C49458BB}"/>
            </c:extLst>
          </c:dLbls>
          <c:cat>
            <c:strRef>
              <c:f>'FLEET SUMMARY'!$C$15:$D$15</c:f>
              <c:strCache>
                <c:ptCount val="2"/>
                <c:pt idx="0">
                  <c:v>ACHIEVED</c:v>
                </c:pt>
                <c:pt idx="1">
                  <c:v>SHORTFALL</c:v>
                </c:pt>
              </c:strCache>
            </c:strRef>
          </c:cat>
          <c:val>
            <c:numRef>
              <c:f>'FLEET SUMMARY'!$C$20:$D$20</c:f>
              <c:numCache>
                <c:formatCode>0.0%</c:formatCode>
                <c:ptCount val="2"/>
                <c:pt idx="0">
                  <c:v>0.22043010752688172</c:v>
                </c:pt>
                <c:pt idx="1">
                  <c:v>0.77956989247311825</c:v>
                </c:pt>
              </c:numCache>
            </c:numRef>
          </c:val>
          <c:extLst>
            <c:ext xmlns:c16="http://schemas.microsoft.com/office/drawing/2014/chart" uri="{C3380CC4-5D6E-409C-BE32-E72D297353CC}">
              <c16:uniqueId val="{00000004-ED31-4182-A6B5-C98E04A6C327}"/>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Cumulative fleet hours - target vs actual</a:t>
            </a:r>
          </a:p>
        </c:rich>
      </c:tx>
      <c:overlay val="0"/>
      <c:spPr>
        <a:noFill/>
        <a:ln w="0">
          <a:noFill/>
        </a:ln>
      </c:spPr>
    </c:title>
    <c:autoTitleDeleted val="0"/>
    <c:plotArea>
      <c:layout/>
      <c:lineChart>
        <c:grouping val="standard"/>
        <c:varyColors val="0"/>
        <c:ser>
          <c:idx val="0"/>
          <c:order val="0"/>
          <c:tx>
            <c:strRef>
              <c:f>'FLEET SUMMARY'!$C$23</c:f>
              <c:strCache>
                <c:ptCount val="1"/>
                <c:pt idx="0">
                  <c:v>CUM TARGET</c:v>
                </c:pt>
              </c:strCache>
            </c:strRef>
          </c:tx>
          <c:spPr>
            <a:ln w="21960">
              <a:solidFill>
                <a:srgbClr val="1F386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'FLEET SUMMARY'!$B$24:$B$54</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'FLEET SUMMARY'!$C$24:$C$54</c:f>
              <c:numCache>
                <c:formatCode>#,##0.0</c:formatCode>
                <c:ptCount val="31"/>
                <c:pt idx="0">
                  <c:v>90</c:v>
                </c:pt>
                <c:pt idx="1">
                  <c:v>180</c:v>
                </c:pt>
                <c:pt idx="2">
                  <c:v>270</c:v>
                </c:pt>
                <c:pt idx="3">
                  <c:v>360</c:v>
                </c:pt>
                <c:pt idx="4">
                  <c:v>450</c:v>
                </c:pt>
                <c:pt idx="5">
                  <c:v>540</c:v>
                </c:pt>
                <c:pt idx="6">
                  <c:v>630</c:v>
                </c:pt>
                <c:pt idx="7">
                  <c:v>720</c:v>
                </c:pt>
                <c:pt idx="8">
                  <c:v>810</c:v>
                </c:pt>
                <c:pt idx="9">
                  <c:v>900</c:v>
                </c:pt>
                <c:pt idx="10">
                  <c:v>990</c:v>
                </c:pt>
                <c:pt idx="11">
                  <c:v>1080</c:v>
                </c:pt>
                <c:pt idx="12">
                  <c:v>1170</c:v>
                </c:pt>
                <c:pt idx="13">
                  <c:v>1260</c:v>
                </c:pt>
                <c:pt idx="14">
                  <c:v>1350</c:v>
                </c:pt>
                <c:pt idx="15">
                  <c:v>1440</c:v>
                </c:pt>
                <c:pt idx="16">
                  <c:v>1530</c:v>
                </c:pt>
                <c:pt idx="17">
                  <c:v>1620</c:v>
                </c:pt>
                <c:pt idx="18">
                  <c:v>1710</c:v>
                </c:pt>
                <c:pt idx="19">
                  <c:v>1800</c:v>
                </c:pt>
                <c:pt idx="20">
                  <c:v>1890</c:v>
                </c:pt>
                <c:pt idx="21">
                  <c:v>1980</c:v>
                </c:pt>
                <c:pt idx="22">
                  <c:v>2070</c:v>
                </c:pt>
                <c:pt idx="23">
                  <c:v>2160</c:v>
                </c:pt>
                <c:pt idx="24">
                  <c:v>2250</c:v>
                </c:pt>
                <c:pt idx="25">
                  <c:v>2340</c:v>
                </c:pt>
                <c:pt idx="26">
                  <c:v>2430</c:v>
                </c:pt>
                <c:pt idx="27">
                  <c:v>2520</c:v>
                </c:pt>
                <c:pt idx="28">
                  <c:v>2610</c:v>
                </c:pt>
                <c:pt idx="29">
                  <c:v>2700</c:v>
                </c:pt>
                <c:pt idx="30">
                  <c:v>2790</c:v>
                </c:pt>
              </c:numCache>
            </c:numRef>
          </c:val>
          <c:smooth val="1"/>
          <c:extLst>
            <c:ext xmlns:c16="http://schemas.microsoft.com/office/drawing/2014/chart" uri="{C3380CC4-5D6E-409C-BE32-E72D297353CC}">
              <c16:uniqueId val="{00000000-0EC7-41D2-AE83-4A1720C93A2C}"/>
            </c:ext>
          </c:extLst>
        </c:ser>
        <c:ser>
          <c:idx val="1"/>
          <c:order val="1"/>
          <c:tx>
            <c:strRef>
              <c:f>'FLEET SUMMARY'!$D$23</c:f>
              <c:strCache>
                <c:ptCount val="1"/>
                <c:pt idx="0">
                  <c:v>CUM ACTUAL</c:v>
                </c:pt>
              </c:strCache>
            </c:strRef>
          </c:tx>
          <c:spPr>
            <a:ln w="21960">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'FLEET SUMMARY'!$B$24:$B$54</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'FLEET SUMMARY'!$D$24:$D$54</c:f>
              <c:numCache>
                <c:formatCode>#,##0.0</c:formatCode>
                <c:ptCount val="31"/>
                <c:pt idx="0">
                  <c:v>35</c:v>
                </c:pt>
                <c:pt idx="1">
                  <c:v>70</c:v>
                </c:pt>
                <c:pt idx="2">
                  <c:v>103</c:v>
                </c:pt>
                <c:pt idx="3">
                  <c:v>129</c:v>
                </c:pt>
                <c:pt idx="4">
                  <c:v>185</c:v>
                </c:pt>
                <c:pt idx="5">
                  <c:v>214</c:v>
                </c:pt>
                <c:pt idx="6">
                  <c:v>245</c:v>
                </c:pt>
                <c:pt idx="7">
                  <c:v>277</c:v>
                </c:pt>
                <c:pt idx="8">
                  <c:v>330</c:v>
                </c:pt>
                <c:pt idx="9">
                  <c:v>365</c:v>
                </c:pt>
                <c:pt idx="10">
                  <c:v>410</c:v>
                </c:pt>
                <c:pt idx="11">
                  <c:v>453</c:v>
                </c:pt>
                <c:pt idx="12">
                  <c:v>523</c:v>
                </c:pt>
                <c:pt idx="13">
                  <c:v>583</c:v>
                </c:pt>
                <c:pt idx="14">
                  <c:v>631</c:v>
                </c:pt>
                <c:pt idx="15">
                  <c:v>631</c:v>
                </c:pt>
                <c:pt idx="16">
                  <c:v>631</c:v>
                </c:pt>
                <c:pt idx="17">
                  <c:v>631</c:v>
                </c:pt>
                <c:pt idx="18">
                  <c:v>631</c:v>
                </c:pt>
                <c:pt idx="19">
                  <c:v>631</c:v>
                </c:pt>
                <c:pt idx="20">
                  <c:v>631</c:v>
                </c:pt>
                <c:pt idx="21">
                  <c:v>631</c:v>
                </c:pt>
                <c:pt idx="22">
                  <c:v>631</c:v>
                </c:pt>
                <c:pt idx="23">
                  <c:v>631</c:v>
                </c:pt>
                <c:pt idx="24">
                  <c:v>631</c:v>
                </c:pt>
                <c:pt idx="25">
                  <c:v>631</c:v>
                </c:pt>
                <c:pt idx="26">
                  <c:v>631</c:v>
                </c:pt>
                <c:pt idx="27">
                  <c:v>631</c:v>
                </c:pt>
                <c:pt idx="28">
                  <c:v>631</c:v>
                </c:pt>
                <c:pt idx="29">
                  <c:v>631</c:v>
                </c:pt>
                <c:pt idx="30">
                  <c:v>631</c:v>
                </c:pt>
              </c:numCache>
            </c:numRef>
          </c:val>
          <c:smooth val="1"/>
          <c:extLst>
            <c:ext xmlns:c16="http://schemas.microsoft.com/office/drawing/2014/chart" uri="{C3380CC4-5D6E-409C-BE32-E72D297353CC}">
              <c16:uniqueId val="{00000001-0EC7-41D2-AE83-4A1720C93A2C}"/>
            </c:ext>
          </c:extLst>
        </c:ser>
        <c:dLbls>
          <c:showLegendKey val="0"/>
          <c:showVal val="0"/>
          <c:showCatName val="0"/>
          <c:showSerName val="0"/>
          <c:showPercent val="0"/>
          <c:showBubbleSize val="0"/>
        </c:dLbls>
        <c:hiLowLines>
          <c:spPr>
            <a:ln w="0">
              <a:noFill/>
            </a:ln>
          </c:spPr>
        </c:hiLowLines>
        <c:smooth val="0"/>
        <c:axId val="77459315"/>
        <c:axId val="85690735"/>
      </c:lineChart>
      <c:catAx>
        <c:axId val="77459315"/>
        <c:scaling>
          <c:orientation val="minMax"/>
        </c:scaling>
        <c:delete val="1"/>
        <c:axPos val="b"/>
        <c:title>
          <c:tx>
            <c:rich>
              <a:bodyPr rot="0"/>
              <a:lstStyle/>
              <a:p>
                <a:pPr>
                  <a:defRPr lang="en-ZA" sz="1000" b="1" strike="noStrike" spc="-1">
                    <a:solidFill>
                      <a:srgbClr val="000000"/>
                    </a:solidFill>
                    <a:latin typeface="Calibri"/>
                  </a:defRPr>
                </a:pPr>
                <a:r>
                  <a:rPr lang="en-ZA" sz="1000" b="1" strike="noStrike" spc="-1">
                    <a:solidFill>
                      <a:srgbClr val="000000"/>
                    </a:solidFill>
                    <a:latin typeface="Calibri"/>
                  </a:rPr>
                  <a:t>Day of month</a:t>
                </a:r>
              </a:p>
            </c:rich>
          </c:tx>
          <c:overlay val="0"/>
          <c:spPr>
            <a:noFill/>
            <a:ln w="0">
              <a:noFill/>
            </a:ln>
          </c:spPr>
        </c:title>
        <c:numFmt formatCode="General" sourceLinked="1"/>
        <c:majorTickMark val="none"/>
        <c:minorTickMark val="none"/>
        <c:tickLblPos val="nextTo"/>
        <c:crossAx val="85690735"/>
        <c:crosses val="autoZero"/>
        <c:auto val="1"/>
        <c:lblAlgn val="ctr"/>
        <c:lblOffset val="100"/>
        <c:noMultiLvlLbl val="0"/>
      </c:catAx>
      <c:valAx>
        <c:axId val="85690735"/>
        <c:scaling>
          <c:orientation val="minMax"/>
        </c:scaling>
        <c:delete val="1"/>
        <c:axPos val="l"/>
        <c:majorGridlines>
          <c:spPr>
            <a:ln w="9360">
              <a:solidFill>
                <a:srgbClr val="878787"/>
              </a:solidFill>
              <a:round/>
            </a:ln>
          </c:spPr>
        </c:majorGridlines>
        <c:title>
          <c:tx>
            <c:rich>
              <a:bodyPr rot="-5400000"/>
              <a:lstStyle/>
              <a:p>
                <a:pPr>
                  <a:defRPr lang="en-ZA" sz="1000" b="1" strike="noStrike" spc="-1">
                    <a:solidFill>
                      <a:srgbClr val="000000"/>
                    </a:solidFill>
                    <a:latin typeface="Calibri"/>
                  </a:defRPr>
                </a:pPr>
                <a:r>
                  <a:rPr lang="en-ZA" sz="1000" b="1" strike="noStrike" spc="-1">
                    <a:solidFill>
                      <a:srgbClr val="000000"/>
                    </a:solidFill>
                    <a:latin typeface="Calibri"/>
                  </a:rPr>
                  <a:t>Hours</a:t>
                </a:r>
              </a:p>
            </c:rich>
          </c:tx>
          <c:overlay val="0"/>
          <c:spPr>
            <a:noFill/>
            <a:ln w="0">
              <a:noFill/>
            </a:ln>
          </c:spPr>
        </c:title>
        <c:numFmt formatCode="#,##0.0" sourceLinked="1"/>
        <c:majorTickMark val="none"/>
        <c:minorTickMark val="none"/>
        <c:tickLblPos val="nextTo"/>
        <c:crossAx val="77459315"/>
        <c:crosses val="autoZero"/>
        <c:crossBetween val="between"/>
      </c:valAx>
      <c:spPr>
        <a:noFill/>
        <a:ln w="0">
          <a:noFill/>
        </a:ln>
      </c:spPr>
    </c:plotArea>
    <c:legend>
      <c:legendPos val="r"/>
      <c:overlay val="1"/>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Planned vs actual hours per machine</a:t>
            </a:r>
          </a:p>
        </c:rich>
      </c:tx>
      <c:layout>
        <c:manualLayout>
          <c:xMode val="edge"/>
          <c:yMode val="edge"/>
          <c:x val="0.37402331241193798"/>
          <c:y val="3.5609857978279001E-2"/>
        </c:manualLayout>
      </c:layout>
      <c:overlay val="0"/>
      <c:spPr>
        <a:noFill/>
        <a:ln w="0">
          <a:noFill/>
        </a:ln>
      </c:spPr>
    </c:title>
    <c:autoTitleDeleted val="0"/>
    <c:plotArea>
      <c:layout/>
      <c:barChart>
        <c:barDir val="col"/>
        <c:grouping val="clustered"/>
        <c:varyColors val="0"/>
        <c:ser>
          <c:idx val="0"/>
          <c:order val="0"/>
          <c:tx>
            <c:strRef>
              <c:f>'FLEET SUMMARY'!$D$6</c:f>
              <c:strCache>
                <c:ptCount val="1"/>
                <c:pt idx="0">
                  <c:v>PLANNED HRS</c:v>
                </c:pt>
              </c:strCache>
            </c:strRef>
          </c:tx>
          <c:spPr>
            <a:solidFill>
              <a:srgbClr val="1F3864"/>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'FLEET SUMMARY'!$B$7:$B$11</c:f>
              <c:strCache>
                <c:ptCount val="5"/>
                <c:pt idx="0">
                  <c:v>CRT220</c:v>
                </c:pt>
                <c:pt idx="1">
                  <c:v>CRT221</c:v>
                </c:pt>
                <c:pt idx="2">
                  <c:v>CRT222</c:v>
                </c:pt>
                <c:pt idx="3">
                  <c:v>CRT224</c:v>
                </c:pt>
                <c:pt idx="4">
                  <c:v>CRT225</c:v>
                </c:pt>
              </c:strCache>
            </c:strRef>
          </c:cat>
          <c:val>
            <c:numRef>
              <c:f>'FLEET SUMMARY'!$D$7:$D$11</c:f>
              <c:numCache>
                <c:formatCode>#,##0.0</c:formatCode>
                <c:ptCount val="5"/>
                <c:pt idx="0">
                  <c:v>558</c:v>
                </c:pt>
                <c:pt idx="1">
                  <c:v>558</c:v>
                </c:pt>
                <c:pt idx="2">
                  <c:v>558</c:v>
                </c:pt>
                <c:pt idx="3">
                  <c:v>558</c:v>
                </c:pt>
                <c:pt idx="4">
                  <c:v>558</c:v>
                </c:pt>
              </c:numCache>
            </c:numRef>
          </c:val>
          <c:extLst>
            <c:ext xmlns:c16="http://schemas.microsoft.com/office/drawing/2014/chart" uri="{C3380CC4-5D6E-409C-BE32-E72D297353CC}">
              <c16:uniqueId val="{00000000-7832-42B6-BD59-5C3F9A396921}"/>
            </c:ext>
          </c:extLst>
        </c:ser>
        <c:ser>
          <c:idx val="1"/>
          <c:order val="1"/>
          <c:tx>
            <c:strRef>
              <c:f>'FLEET SUMMARY'!$E$6</c:f>
              <c:strCache>
                <c:ptCount val="1"/>
                <c:pt idx="0">
                  <c:v>ACTUAL HRS</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'FLEET SUMMARY'!$B$7:$B$11</c:f>
              <c:strCache>
                <c:ptCount val="5"/>
                <c:pt idx="0">
                  <c:v>CRT220</c:v>
                </c:pt>
                <c:pt idx="1">
                  <c:v>CRT221</c:v>
                </c:pt>
                <c:pt idx="2">
                  <c:v>CRT222</c:v>
                </c:pt>
                <c:pt idx="3">
                  <c:v>CRT224</c:v>
                </c:pt>
                <c:pt idx="4">
                  <c:v>CRT225</c:v>
                </c:pt>
              </c:strCache>
            </c:strRef>
          </c:cat>
          <c:val>
            <c:numRef>
              <c:f>'FLEET SUMMARY'!$E$7:$E$11</c:f>
              <c:numCache>
                <c:formatCode>#,##0.0</c:formatCode>
                <c:ptCount val="5"/>
                <c:pt idx="0">
                  <c:v>0</c:v>
                </c:pt>
                <c:pt idx="1">
                  <c:v>164</c:v>
                </c:pt>
                <c:pt idx="2">
                  <c:v>113</c:v>
                </c:pt>
                <c:pt idx="3">
                  <c:v>231</c:v>
                </c:pt>
                <c:pt idx="4">
                  <c:v>123</c:v>
                </c:pt>
              </c:numCache>
            </c:numRef>
          </c:val>
          <c:extLst>
            <c:ext xmlns:c16="http://schemas.microsoft.com/office/drawing/2014/chart" uri="{C3380CC4-5D6E-409C-BE32-E72D297353CC}">
              <c16:uniqueId val="{00000001-7832-42B6-BD59-5C3F9A396921}"/>
            </c:ext>
          </c:extLst>
        </c:ser>
        <c:dLbls>
          <c:showLegendKey val="0"/>
          <c:showVal val="0"/>
          <c:showCatName val="0"/>
          <c:showSerName val="0"/>
          <c:showPercent val="0"/>
          <c:showBubbleSize val="0"/>
        </c:dLbls>
        <c:gapWidth val="150"/>
        <c:axId val="51401926"/>
        <c:axId val="81143386"/>
      </c:barChart>
      <c:catAx>
        <c:axId val="51401926"/>
        <c:scaling>
          <c:orientation val="minMax"/>
        </c:scaling>
        <c:delete val="1"/>
        <c:axPos val="b"/>
        <c:numFmt formatCode="General" sourceLinked="1"/>
        <c:majorTickMark val="none"/>
        <c:minorTickMark val="none"/>
        <c:tickLblPos val="nextTo"/>
        <c:crossAx val="81143386"/>
        <c:crosses val="autoZero"/>
        <c:auto val="1"/>
        <c:lblAlgn val="ctr"/>
        <c:lblOffset val="100"/>
        <c:noMultiLvlLbl val="0"/>
      </c:catAx>
      <c:valAx>
        <c:axId val="81143386"/>
        <c:scaling>
          <c:orientation val="minMax"/>
        </c:scaling>
        <c:delete val="1"/>
        <c:axPos val="l"/>
        <c:majorGridlines>
          <c:spPr>
            <a:ln w="9360">
              <a:solidFill>
                <a:srgbClr val="878787"/>
              </a:solidFill>
              <a:round/>
            </a:ln>
          </c:spPr>
        </c:majorGridlines>
        <c:title>
          <c:tx>
            <c:rich>
              <a:bodyPr rot="-5400000"/>
              <a:lstStyle/>
              <a:p>
                <a:pPr>
                  <a:defRPr lang="en-ZA" sz="1000" b="1" strike="noStrike" spc="-1">
                    <a:solidFill>
                      <a:srgbClr val="000000"/>
                    </a:solidFill>
                    <a:latin typeface="Calibri"/>
                  </a:defRPr>
                </a:pPr>
                <a:r>
                  <a:rPr lang="en-ZA" sz="1000" b="1" strike="noStrike" spc="-1">
                    <a:solidFill>
                      <a:srgbClr val="000000"/>
                    </a:solidFill>
                    <a:latin typeface="Calibri"/>
                  </a:rPr>
                  <a:t>Hours</a:t>
                </a:r>
              </a:p>
            </c:rich>
          </c:tx>
          <c:overlay val="0"/>
          <c:spPr>
            <a:noFill/>
            <a:ln w="0">
              <a:noFill/>
            </a:ln>
          </c:spPr>
        </c:title>
        <c:numFmt formatCode="#,##0.0" sourceLinked="1"/>
        <c:majorTickMark val="none"/>
        <c:minorTickMark val="none"/>
        <c:tickLblPos val="nextTo"/>
        <c:crossAx val="51401926"/>
        <c:crosses val="autoZero"/>
        <c:crossBetween val="between"/>
      </c:valAx>
      <c:spPr>
        <a:noFill/>
        <a:ln w="0">
          <a:noFill/>
        </a:ln>
      </c:spPr>
    </c:plotArea>
    <c:legend>
      <c:legendPos val="r"/>
      <c:layout>
        <c:manualLayout>
          <c:xMode val="edge"/>
          <c:yMode val="edge"/>
          <c:x val="2.7189546064706999E-2"/>
          <c:y val="0.59546801287229401"/>
          <c:w val="0.168535694095237"/>
          <c:h val="0.13322040829941001"/>
        </c:manualLayout>
      </c:layout>
      <c:overlay val="1"/>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CRT220 availability</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375623"/>
              </a:solidFill>
              <a:ln w="0">
                <a:noFill/>
              </a:ln>
            </c:spPr>
            <c:extLst>
              <c:ext xmlns:c16="http://schemas.microsoft.com/office/drawing/2014/chart" uri="{C3380CC4-5D6E-409C-BE32-E72D297353CC}">
                <c16:uniqueId val="{00000001-3F62-4E00-A7AB-A524B489A7D3}"/>
              </c:ext>
            </c:extLst>
          </c:dPt>
          <c:dPt>
            <c:idx val="1"/>
            <c:bubble3D val="0"/>
            <c:spPr>
              <a:solidFill>
                <a:srgbClr val="C55A11"/>
              </a:solidFill>
              <a:ln w="0">
                <a:noFill/>
              </a:ln>
            </c:spPr>
            <c:extLst>
              <c:ext xmlns:c16="http://schemas.microsoft.com/office/drawing/2014/chart" uri="{C3380CC4-5D6E-409C-BE32-E72D297353CC}">
                <c16:uniqueId val="{00000003-3F62-4E00-A7AB-A524B489A7D3}"/>
              </c:ext>
            </c:extLst>
          </c:dPt>
          <c:dLbls>
            <c:dLbl>
              <c:idx val="0"/>
              <c:layout>
                <c:manualLayout>
                  <c:x val="2.3778168562641564E-3"/>
                  <c:y val="0.20328771185193711"/>
                </c:manualLayout>
              </c:layout>
              <c:spPr/>
              <c:txPr>
                <a:bodyPr wrap="square"/>
                <a:lstStyle/>
                <a:p>
                  <a:pPr>
                    <a:defRPr sz="1200" b="1"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65563888165541406"/>
                      <c:h val="0.15280797263525805"/>
                    </c:manualLayout>
                  </c15:layout>
                </c:ext>
                <c:ext xmlns:c16="http://schemas.microsoft.com/office/drawing/2014/chart" uri="{C3380CC4-5D6E-409C-BE32-E72D297353CC}">
                  <c16:uniqueId val="{00000001-3F62-4E00-A7AB-A524B489A7D3}"/>
                </c:ext>
              </c:extLst>
            </c:dLbl>
            <c:dLbl>
              <c:idx val="1"/>
              <c:layout>
                <c:manualLayout>
                  <c:x val="0.34949871552778899"/>
                  <c:y val="7.5590030251656715E-3"/>
                </c:manualLayout>
              </c:layou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3F62-4E00-A7AB-A524B489A7D3}"/>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0"/>
            <c:extLst>
              <c:ext xmlns:c15="http://schemas.microsoft.com/office/drawing/2012/chart" uri="{CE6537A1-D6FC-4f65-9D91-7224C49458BB}"/>
            </c:extLst>
          </c:dLbls>
          <c:cat>
            <c:strRef>
              <c:f>'FLEET SUMMARY'!$E$15:$F$15</c:f>
              <c:strCache>
                <c:ptCount val="2"/>
                <c:pt idx="0">
                  <c:v>AVAIL ACHIEVED</c:v>
                </c:pt>
                <c:pt idx="1">
                  <c:v>AVAIL SHORTFALL</c:v>
                </c:pt>
              </c:strCache>
            </c:strRef>
          </c:cat>
          <c:val>
            <c:numRef>
              <c:f>'FLEET SUMMARY'!$E$16:$F$16</c:f>
              <c:numCache>
                <c:formatCode>0.0%</c:formatCode>
                <c:ptCount val="2"/>
                <c:pt idx="0">
                  <c:v>0</c:v>
                </c:pt>
                <c:pt idx="1">
                  <c:v>1</c:v>
                </c:pt>
              </c:numCache>
            </c:numRef>
          </c:val>
          <c:extLst>
            <c:ext xmlns:c16="http://schemas.microsoft.com/office/drawing/2014/chart" uri="{C3380CC4-5D6E-409C-BE32-E72D297353CC}">
              <c16:uniqueId val="{00000004-3F62-4E00-A7AB-A524B489A7D3}"/>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layout>
        <c:manualLayout>
          <c:xMode val="edge"/>
          <c:yMode val="edge"/>
          <c:x val="3.9948826880370762E-2"/>
          <c:y val="0.88606624520717414"/>
          <c:w val="0.89999992085815095"/>
          <c:h val="8.5548379742676511E-2"/>
        </c:manualLayout>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CRT221 availability</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375623"/>
              </a:solidFill>
              <a:ln w="0">
                <a:noFill/>
              </a:ln>
            </c:spPr>
            <c:extLst>
              <c:ext xmlns:c16="http://schemas.microsoft.com/office/drawing/2014/chart" uri="{C3380CC4-5D6E-409C-BE32-E72D297353CC}">
                <c16:uniqueId val="{00000001-D52C-4CB8-BFDA-3CA5D6F77DE5}"/>
              </c:ext>
            </c:extLst>
          </c:dPt>
          <c:dPt>
            <c:idx val="1"/>
            <c:bubble3D val="0"/>
            <c:spPr>
              <a:solidFill>
                <a:srgbClr val="C55A11"/>
              </a:solidFill>
              <a:ln w="0">
                <a:noFill/>
              </a:ln>
            </c:spPr>
            <c:extLst>
              <c:ext xmlns:c16="http://schemas.microsoft.com/office/drawing/2014/chart" uri="{C3380CC4-5D6E-409C-BE32-E72D297353CC}">
                <c16:uniqueId val="{00000003-D52C-4CB8-BFDA-3CA5D6F77DE5}"/>
              </c:ext>
            </c:extLst>
          </c:dPt>
          <c:dLbls>
            <c:dLbl>
              <c:idx val="0"/>
              <c:layout>
                <c:manualLayout>
                  <c:x val="0.17062046655802215"/>
                  <c:y val="8.0299447388054987E-2"/>
                </c:manualLayout>
              </c:layou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D52C-4CB8-BFDA-3CA5D6F77DE5}"/>
                </c:ext>
              </c:extLst>
            </c:dLbl>
            <c:dLbl>
              <c:idx val="1"/>
              <c:layout>
                <c:manualLayout>
                  <c:x val="0.10130992224575781"/>
                  <c:y val="0.12753460240429704"/>
                </c:manualLayout>
              </c:layout>
              <c:spPr/>
              <c:txPr>
                <a:bodyPr wrap="square"/>
                <a:lstStyle/>
                <a:p>
                  <a:pPr>
                    <a:defRPr sz="1200" b="1"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81549886982117414"/>
                      <c:h val="0.16839266466965647"/>
                    </c:manualLayout>
                  </c15:layout>
                </c:ext>
                <c:ext xmlns:c16="http://schemas.microsoft.com/office/drawing/2014/chart" uri="{C3380CC4-5D6E-409C-BE32-E72D297353CC}">
                  <c16:uniqueId val="{00000003-D52C-4CB8-BFDA-3CA5D6F77DE5}"/>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0"/>
            <c:extLst>
              <c:ext xmlns:c15="http://schemas.microsoft.com/office/drawing/2012/chart" uri="{CE6537A1-D6FC-4f65-9D91-7224C49458BB}"/>
            </c:extLst>
          </c:dLbls>
          <c:cat>
            <c:strRef>
              <c:f>'FLEET SUMMARY'!$E$15:$F$15</c:f>
              <c:strCache>
                <c:ptCount val="2"/>
                <c:pt idx="0">
                  <c:v>AVAIL ACHIEVED</c:v>
                </c:pt>
                <c:pt idx="1">
                  <c:v>AVAIL SHORTFALL</c:v>
                </c:pt>
              </c:strCache>
            </c:strRef>
          </c:cat>
          <c:val>
            <c:numRef>
              <c:f>'FLEET SUMMARY'!$E$17:$F$17</c:f>
              <c:numCache>
                <c:formatCode>0.0%</c:formatCode>
                <c:ptCount val="2"/>
                <c:pt idx="0">
                  <c:v>0.71481481481481479</c:v>
                </c:pt>
                <c:pt idx="1">
                  <c:v>0.28518518518518521</c:v>
                </c:pt>
              </c:numCache>
            </c:numRef>
          </c:val>
          <c:extLst>
            <c:ext xmlns:c16="http://schemas.microsoft.com/office/drawing/2014/chart" uri="{C3380CC4-5D6E-409C-BE32-E72D297353CC}">
              <c16:uniqueId val="{00000004-D52C-4CB8-BFDA-3CA5D6F77DE5}"/>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CRT222 availability</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375623"/>
              </a:solidFill>
              <a:ln w="0">
                <a:noFill/>
              </a:ln>
            </c:spPr>
            <c:extLst>
              <c:ext xmlns:c16="http://schemas.microsoft.com/office/drawing/2014/chart" uri="{C3380CC4-5D6E-409C-BE32-E72D297353CC}">
                <c16:uniqueId val="{00000001-A6A5-4E16-AC0E-285BD12D6604}"/>
              </c:ext>
            </c:extLst>
          </c:dPt>
          <c:dPt>
            <c:idx val="1"/>
            <c:bubble3D val="0"/>
            <c:spPr>
              <a:solidFill>
                <a:srgbClr val="C55A11"/>
              </a:solidFill>
              <a:ln w="0">
                <a:noFill/>
              </a:ln>
            </c:spPr>
            <c:extLst>
              <c:ext xmlns:c16="http://schemas.microsoft.com/office/drawing/2014/chart" uri="{C3380CC4-5D6E-409C-BE32-E72D297353CC}">
                <c16:uniqueId val="{00000003-A6A5-4E16-AC0E-285BD12D6604}"/>
              </c:ext>
            </c:extLst>
          </c:dPt>
          <c:dLbls>
            <c:dLbl>
              <c:idx val="0"/>
              <c:layout>
                <c:manualLayout>
                  <c:x val="0.1026185059034182"/>
                  <c:y val="0.2425992898775505"/>
                </c:manualLayout>
              </c:layou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A6A5-4E16-AC0E-285BD12D6604}"/>
                </c:ext>
              </c:extLst>
            </c:dLbl>
            <c:dLbl>
              <c:idx val="1"/>
              <c:layout>
                <c:manualLayout>
                  <c:x val="0.11652610909062934"/>
                  <c:y val="-2.5580888586951546E-2"/>
                </c:manualLayout>
              </c:layout>
              <c:spPr/>
              <c:txPr>
                <a:bodyPr wrap="square"/>
                <a:lstStyle/>
                <a:p>
                  <a:pPr>
                    <a:defRPr sz="1200" b="1"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77075962049078084"/>
                      <c:h val="0.11465053295806835"/>
                    </c:manualLayout>
                  </c15:layout>
                </c:ext>
                <c:ext xmlns:c16="http://schemas.microsoft.com/office/drawing/2014/chart" uri="{C3380CC4-5D6E-409C-BE32-E72D297353CC}">
                  <c16:uniqueId val="{00000003-A6A5-4E16-AC0E-285BD12D6604}"/>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0"/>
            <c:extLst>
              <c:ext xmlns:c15="http://schemas.microsoft.com/office/drawing/2012/chart" uri="{CE6537A1-D6FC-4f65-9D91-7224C49458BB}"/>
            </c:extLst>
          </c:dLbls>
          <c:cat>
            <c:strRef>
              <c:f>'FLEET SUMMARY'!$E$15:$F$15</c:f>
              <c:strCache>
                <c:ptCount val="2"/>
                <c:pt idx="0">
                  <c:v>AVAIL ACHIEVED</c:v>
                </c:pt>
                <c:pt idx="1">
                  <c:v>AVAIL SHORTFALL</c:v>
                </c:pt>
              </c:strCache>
            </c:strRef>
          </c:cat>
          <c:val>
            <c:numRef>
              <c:f>'FLEET SUMMARY'!$E$18:$F$18</c:f>
              <c:numCache>
                <c:formatCode>0.0%</c:formatCode>
                <c:ptCount val="2"/>
                <c:pt idx="0">
                  <c:v>0.46296296296296297</c:v>
                </c:pt>
                <c:pt idx="1">
                  <c:v>0.53703703703703698</c:v>
                </c:pt>
              </c:numCache>
            </c:numRef>
          </c:val>
          <c:extLst>
            <c:ext xmlns:c16="http://schemas.microsoft.com/office/drawing/2014/chart" uri="{C3380CC4-5D6E-409C-BE32-E72D297353CC}">
              <c16:uniqueId val="{00000004-A6A5-4E16-AC0E-285BD12D6604}"/>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layout>
        <c:manualLayout>
          <c:xMode val="edge"/>
          <c:yMode val="edge"/>
          <c:x val="5.0000077186222569E-2"/>
          <c:y val="0.87868479023187929"/>
          <c:w val="0.89999984562755486"/>
          <c:h val="0.1120129352887642"/>
        </c:manualLayout>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CRT224 availability</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375623"/>
              </a:solidFill>
              <a:ln w="0">
                <a:noFill/>
              </a:ln>
            </c:spPr>
            <c:extLst>
              <c:ext xmlns:c16="http://schemas.microsoft.com/office/drawing/2014/chart" uri="{C3380CC4-5D6E-409C-BE32-E72D297353CC}">
                <c16:uniqueId val="{00000001-189F-4269-BC63-15E6C8CFF116}"/>
              </c:ext>
            </c:extLst>
          </c:dPt>
          <c:dPt>
            <c:idx val="1"/>
            <c:bubble3D val="0"/>
            <c:spPr>
              <a:solidFill>
                <a:srgbClr val="C55A11"/>
              </a:solidFill>
              <a:ln w="0">
                <a:noFill/>
              </a:ln>
            </c:spPr>
            <c:extLst>
              <c:ext xmlns:c16="http://schemas.microsoft.com/office/drawing/2014/chart" uri="{C3380CC4-5D6E-409C-BE32-E72D297353CC}">
                <c16:uniqueId val="{00000003-189F-4269-BC63-15E6C8CFF116}"/>
              </c:ext>
            </c:extLst>
          </c:dPt>
          <c:dLbls>
            <c:dLbl>
              <c:idx val="0"/>
              <c:layout>
                <c:manualLayout>
                  <c:x val="0.22047462805756646"/>
                  <c:y val="5.6707145546851863E-2"/>
                </c:manualLayout>
              </c:layou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89F-4269-BC63-15E6C8CFF116}"/>
                </c:ext>
              </c:extLst>
            </c:dLbl>
            <c:dLbl>
              <c:idx val="1"/>
              <c:layout>
                <c:manualLayout>
                  <c:x val="8.0081471195463036E-3"/>
                  <c:y val="0.20320060487621916"/>
                </c:manualLayout>
              </c:layout>
              <c:spPr/>
              <c:txPr>
                <a:bodyPr wrap="square"/>
                <a:lstStyle/>
                <a:p>
                  <a:pPr>
                    <a:defRPr sz="1200" b="1"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79260422098172345"/>
                      <c:h val="0.13538830999310883"/>
                    </c:manualLayout>
                  </c15:layout>
                </c:ext>
                <c:ext xmlns:c16="http://schemas.microsoft.com/office/drawing/2014/chart" uri="{C3380CC4-5D6E-409C-BE32-E72D297353CC}">
                  <c16:uniqueId val="{00000003-189F-4269-BC63-15E6C8CFF116}"/>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0"/>
            <c:extLst>
              <c:ext xmlns:c15="http://schemas.microsoft.com/office/drawing/2012/chart" uri="{CE6537A1-D6FC-4f65-9D91-7224C49458BB}"/>
            </c:extLst>
          </c:dLbls>
          <c:cat>
            <c:strRef>
              <c:f>'FLEET SUMMARY'!$E$15:$F$15</c:f>
              <c:strCache>
                <c:ptCount val="2"/>
                <c:pt idx="0">
                  <c:v>AVAIL ACHIEVED</c:v>
                </c:pt>
                <c:pt idx="1">
                  <c:v>AVAIL SHORTFALL</c:v>
                </c:pt>
              </c:strCache>
            </c:strRef>
          </c:cat>
          <c:val>
            <c:numRef>
              <c:f>'FLEET SUMMARY'!$E$19:$F$19</c:f>
              <c:numCache>
                <c:formatCode>0.0%</c:formatCode>
                <c:ptCount val="2"/>
                <c:pt idx="0">
                  <c:v>0.95925925925925926</c:v>
                </c:pt>
                <c:pt idx="1">
                  <c:v>4.0740740740740744E-2</c:v>
                </c:pt>
              </c:numCache>
            </c:numRef>
          </c:val>
          <c:extLst>
            <c:ext xmlns:c16="http://schemas.microsoft.com/office/drawing/2014/chart" uri="{C3380CC4-5D6E-409C-BE32-E72D297353CC}">
              <c16:uniqueId val="{00000004-189F-4269-BC63-15E6C8CFF116}"/>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CRT225 availability</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375623"/>
              </a:solidFill>
              <a:ln w="0">
                <a:noFill/>
              </a:ln>
            </c:spPr>
            <c:extLst>
              <c:ext xmlns:c16="http://schemas.microsoft.com/office/drawing/2014/chart" uri="{C3380CC4-5D6E-409C-BE32-E72D297353CC}">
                <c16:uniqueId val="{00000001-B739-4816-832D-A56C2A74F483}"/>
              </c:ext>
            </c:extLst>
          </c:dPt>
          <c:dPt>
            <c:idx val="1"/>
            <c:bubble3D val="0"/>
            <c:spPr>
              <a:solidFill>
                <a:srgbClr val="C55A11"/>
              </a:solidFill>
              <a:ln w="0">
                <a:noFill/>
              </a:ln>
            </c:spPr>
            <c:extLst>
              <c:ext xmlns:c16="http://schemas.microsoft.com/office/drawing/2014/chart" uri="{C3380CC4-5D6E-409C-BE32-E72D297353CC}">
                <c16:uniqueId val="{00000003-B739-4816-832D-A56C2A74F483}"/>
              </c:ext>
            </c:extLst>
          </c:dPt>
          <c:dLbls>
            <c:dLbl>
              <c:idx val="0"/>
              <c:layout>
                <c:manualLayout>
                  <c:x val="0.2897727704862757"/>
                  <c:y val="3.7071754643364978E-2"/>
                </c:manualLayout>
              </c:layou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B739-4816-832D-A56C2A74F483}"/>
                </c:ext>
              </c:extLst>
            </c:dLbl>
            <c:dLbl>
              <c:idx val="1"/>
              <c:layout>
                <c:manualLayout>
                  <c:x val="4.6444620026851735E-3"/>
                  <c:y val="0.19462681852020319"/>
                </c:manualLayout>
              </c:layout>
              <c:spPr/>
              <c:txPr>
                <a:bodyPr wrap="square"/>
                <a:lstStyle/>
                <a:p>
                  <a:pPr>
                    <a:defRPr sz="1200" b="1"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7787075719488542"/>
                      <c:h val="0.13276312691139325"/>
                    </c:manualLayout>
                  </c15:layout>
                </c:ext>
                <c:ext xmlns:c16="http://schemas.microsoft.com/office/drawing/2014/chart" uri="{C3380CC4-5D6E-409C-BE32-E72D297353CC}">
                  <c16:uniqueId val="{00000003-B739-4816-832D-A56C2A74F483}"/>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0"/>
            <c:extLst>
              <c:ext xmlns:c15="http://schemas.microsoft.com/office/drawing/2012/chart" uri="{CE6537A1-D6FC-4f65-9D91-7224C49458BB}"/>
            </c:extLst>
          </c:dLbls>
          <c:cat>
            <c:strRef>
              <c:f>'FLEET SUMMARY'!$E$15:$F$15</c:f>
              <c:strCache>
                <c:ptCount val="2"/>
                <c:pt idx="0">
                  <c:v>AVAIL ACHIEVED</c:v>
                </c:pt>
                <c:pt idx="1">
                  <c:v>AVAIL SHORTFALL</c:v>
                </c:pt>
              </c:strCache>
            </c:strRef>
          </c:cat>
          <c:val>
            <c:numRef>
              <c:f>'FLEET SUMMARY'!$E$20:$F$20</c:f>
              <c:numCache>
                <c:formatCode>0.0%</c:formatCode>
                <c:ptCount val="2"/>
                <c:pt idx="0">
                  <c:v>1</c:v>
                </c:pt>
                <c:pt idx="1">
                  <c:v>0</c:v>
                </c:pt>
              </c:numCache>
            </c:numRef>
          </c:val>
          <c:extLst>
            <c:ext xmlns:c16="http://schemas.microsoft.com/office/drawing/2014/chart" uri="{C3380CC4-5D6E-409C-BE32-E72D297353CC}">
              <c16:uniqueId val="{00000004-B739-4816-832D-A56C2A74F483}"/>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WORK FORCE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extLst>
                <c:ext xmlns:c15="http://schemas.microsoft.com/office/drawing/2012/chart" uri="{02D57815-91ED-43cb-92C2-25804820EDAC}">
                  <c15:fullRef>
                    <c15:sqref>'INFO - MECHANICAL'!$D$41:$R$42</c15:sqref>
                  </c15:fullRef>
                  <c15:levelRef>
                    <c15:sqref>'INFO - MECHANICAL'!$D$42:$R$42</c15:sqref>
                  </c15:levelRef>
                </c:ext>
              </c:extLst>
              <c:f>'INFO - MECHANICAL'!$D$42:$R$42</c:f>
              <c:strCache>
                <c:ptCount val="13"/>
                <c:pt idx="0">
                  <c:v>Mechanics scheduled</c:v>
                </c:pt>
                <c:pt idx="3">
                  <c:v>Mechanics present</c:v>
                </c:pt>
                <c:pt idx="6">
                  <c:v>Hours on site</c:v>
                </c:pt>
                <c:pt idx="9">
                  <c:v>Productive hours</c:v>
                </c:pt>
                <c:pt idx="12">
                  <c:v>Labour utilisation</c:v>
                </c:pt>
              </c:strCache>
            </c:strRef>
          </c:cat>
          <c:val>
            <c:numRef>
              <c:f>'INFO - MECHANICAL'!$D$43:$R$43</c:f>
              <c:numCache>
                <c:formatCode>#,##0</c:formatCode>
                <c:ptCount val="15"/>
                <c:pt idx="0">
                  <c:v>4</c:v>
                </c:pt>
                <c:pt idx="3">
                  <c:v>0</c:v>
                </c:pt>
                <c:pt idx="6" formatCode="#,##0.0">
                  <c:v>0</c:v>
                </c:pt>
                <c:pt idx="9" formatCode="#,##0.0">
                  <c:v>264</c:v>
                </c:pt>
                <c:pt idx="12" formatCode="0.0%">
                  <c:v>0</c:v>
                </c:pt>
              </c:numCache>
            </c:numRef>
          </c:val>
          <c:extLst>
            <c:ext xmlns:c16="http://schemas.microsoft.com/office/drawing/2014/chart" uri="{C3380CC4-5D6E-409C-BE32-E72D297353CC}">
              <c16:uniqueId val="{00000000-36AE-42F2-BC4F-924ABF45D58E}"/>
            </c:ext>
          </c:extLst>
        </c:ser>
        <c:dLbls>
          <c:showLegendKey val="0"/>
          <c:showVal val="0"/>
          <c:showCatName val="0"/>
          <c:showSerName val="0"/>
          <c:showPercent val="0"/>
          <c:showBubbleSize val="0"/>
        </c:dLbls>
        <c:gapWidth val="182"/>
        <c:axId val="1658554224"/>
        <c:axId val="1654143440"/>
      </c:barChart>
      <c:catAx>
        <c:axId val="165855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143440"/>
        <c:crosses val="autoZero"/>
        <c:auto val="1"/>
        <c:lblAlgn val="ctr"/>
        <c:lblOffset val="100"/>
        <c:noMultiLvlLbl val="0"/>
      </c:catAx>
      <c:valAx>
        <c:axId val="16541434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554224"/>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EQUIPMENT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extLst>
                <c:ext xmlns:c15="http://schemas.microsoft.com/office/drawing/2012/chart" uri="{02D57815-91ED-43cb-92C2-25804820EDAC}">
                  <c15:fullRef>
                    <c15:sqref>'INFO - MECHANICAL'!$D$45:$R$46</c15:sqref>
                  </c15:fullRef>
                  <c15:levelRef>
                    <c15:sqref>'INFO - MECHANICAL'!$D$46:$R$46</c15:sqref>
                  </c15:levelRef>
                </c:ext>
              </c:extLst>
              <c:f>'INFO - MECHANICAL'!$D$46:$R$46</c:f>
              <c:strCache>
                <c:ptCount val="13"/>
                <c:pt idx="0">
                  <c:v>Equipment on register</c:v>
                </c:pt>
                <c:pt idx="3">
                  <c:v>Active</c:v>
                </c:pt>
                <c:pt idx="6">
                  <c:v>Inactive</c:v>
                </c:pt>
                <c:pt idx="9">
                  <c:v>Available</c:v>
                </c:pt>
                <c:pt idx="12">
                  <c:v>Unavailable</c:v>
                </c:pt>
              </c:strCache>
            </c:strRef>
          </c:cat>
          <c:val>
            <c:numRef>
              <c:f>'INFO - MECHANICAL'!$D$47:$R$47</c:f>
              <c:numCache>
                <c:formatCode>#,##0</c:formatCode>
                <c:ptCount val="15"/>
                <c:pt idx="0">
                  <c:v>0</c:v>
                </c:pt>
                <c:pt idx="3">
                  <c:v>0</c:v>
                </c:pt>
                <c:pt idx="6">
                  <c:v>0</c:v>
                </c:pt>
                <c:pt idx="9">
                  <c:v>0</c:v>
                </c:pt>
                <c:pt idx="12">
                  <c:v>0</c:v>
                </c:pt>
              </c:numCache>
            </c:numRef>
          </c:val>
          <c:extLst>
            <c:ext xmlns:c16="http://schemas.microsoft.com/office/drawing/2014/chart" uri="{C3380CC4-5D6E-409C-BE32-E72D297353CC}">
              <c16:uniqueId val="{00000000-9E71-4953-9C3B-F678B2561B74}"/>
            </c:ext>
          </c:extLst>
        </c:ser>
        <c:ser>
          <c:idx val="1"/>
          <c:order val="1"/>
          <c:spPr>
            <a:solidFill>
              <a:schemeClr val="accent2"/>
            </a:solidFill>
            <a:ln>
              <a:noFill/>
            </a:ln>
            <a:effectLst/>
          </c:spPr>
          <c:invertIfNegative val="0"/>
          <c:cat>
            <c:strRef>
              <c:extLst>
                <c:ext xmlns:c15="http://schemas.microsoft.com/office/drawing/2012/chart" uri="{02D57815-91ED-43cb-92C2-25804820EDAC}">
                  <c15:fullRef>
                    <c15:sqref>'INFO - MECHANICAL'!$D$45:$R$46</c15:sqref>
                  </c15:fullRef>
                  <c15:levelRef>
                    <c15:sqref>'INFO - MECHANICAL'!$D$46:$R$46</c15:sqref>
                  </c15:levelRef>
                </c:ext>
              </c:extLst>
              <c:f>'INFO - MECHANICAL'!$D$46:$R$46</c:f>
              <c:strCache>
                <c:ptCount val="13"/>
                <c:pt idx="0">
                  <c:v>Equipment on register</c:v>
                </c:pt>
                <c:pt idx="3">
                  <c:v>Active</c:v>
                </c:pt>
                <c:pt idx="6">
                  <c:v>Inactive</c:v>
                </c:pt>
                <c:pt idx="9">
                  <c:v>Available</c:v>
                </c:pt>
                <c:pt idx="12">
                  <c:v>Unavailable</c:v>
                </c:pt>
              </c:strCache>
            </c:strRef>
          </c:cat>
          <c:val>
            <c:numRef>
              <c:f>'INFO - MECHANICAL'!$D$48:$R$48</c:f>
              <c:numCache>
                <c:formatCode>General</c:formatCode>
                <c:ptCount val="15"/>
                <c:pt idx="0">
                  <c:v>0</c:v>
                </c:pt>
                <c:pt idx="3">
                  <c:v>0</c:v>
                </c:pt>
                <c:pt idx="6">
                  <c:v>0</c:v>
                </c:pt>
                <c:pt idx="9">
                  <c:v>0</c:v>
                </c:pt>
                <c:pt idx="12">
                  <c:v>0</c:v>
                </c:pt>
              </c:numCache>
            </c:numRef>
          </c:val>
          <c:extLst>
            <c:ext xmlns:c16="http://schemas.microsoft.com/office/drawing/2014/chart" uri="{C3380CC4-5D6E-409C-BE32-E72D297353CC}">
              <c16:uniqueId val="{00000001-9E71-4953-9C3B-F678B2561B74}"/>
            </c:ext>
          </c:extLst>
        </c:ser>
        <c:ser>
          <c:idx val="2"/>
          <c:order val="2"/>
          <c:spPr>
            <a:solidFill>
              <a:schemeClr val="accent3"/>
            </a:solidFill>
            <a:ln>
              <a:noFill/>
            </a:ln>
            <a:effectLst/>
          </c:spPr>
          <c:invertIfNegative val="0"/>
          <c:cat>
            <c:strRef>
              <c:extLst>
                <c:ext xmlns:c15="http://schemas.microsoft.com/office/drawing/2012/chart" uri="{02D57815-91ED-43cb-92C2-25804820EDAC}">
                  <c15:fullRef>
                    <c15:sqref>'INFO - MECHANICAL'!$D$45:$R$46</c15:sqref>
                  </c15:fullRef>
                  <c15:levelRef>
                    <c15:sqref>'INFO - MECHANICAL'!$D$46:$R$46</c15:sqref>
                  </c15:levelRef>
                </c:ext>
              </c:extLst>
              <c:f>'INFO - MECHANICAL'!$D$46:$R$46</c:f>
              <c:strCache>
                <c:ptCount val="13"/>
                <c:pt idx="0">
                  <c:v>Equipment on register</c:v>
                </c:pt>
                <c:pt idx="3">
                  <c:v>Active</c:v>
                </c:pt>
                <c:pt idx="6">
                  <c:v>Inactive</c:v>
                </c:pt>
                <c:pt idx="9">
                  <c:v>Available</c:v>
                </c:pt>
                <c:pt idx="12">
                  <c:v>Unavailable</c:v>
                </c:pt>
              </c:strCache>
            </c:strRef>
          </c:cat>
          <c:val>
            <c:numRef>
              <c:f>'INFO - MECHANICAL'!$D$49:$R$49</c:f>
              <c:numCache>
                <c:formatCode>0.0%</c:formatCode>
                <c:ptCount val="15"/>
                <c:pt idx="0">
                  <c:v>0.62740740740740741</c:v>
                </c:pt>
                <c:pt idx="3">
                  <c:v>0.22616487455197132</c:v>
                </c:pt>
                <c:pt idx="6">
                  <c:v>0</c:v>
                </c:pt>
                <c:pt idx="9">
                  <c:v>0</c:v>
                </c:pt>
                <c:pt idx="12" formatCode="#,##0">
                  <c:v>1</c:v>
                </c:pt>
              </c:numCache>
            </c:numRef>
          </c:val>
          <c:extLst>
            <c:ext xmlns:c16="http://schemas.microsoft.com/office/drawing/2014/chart" uri="{C3380CC4-5D6E-409C-BE32-E72D297353CC}">
              <c16:uniqueId val="{00000002-9E71-4953-9C3B-F678B2561B74}"/>
            </c:ext>
          </c:extLst>
        </c:ser>
        <c:dLbls>
          <c:showLegendKey val="0"/>
          <c:showVal val="0"/>
          <c:showCatName val="0"/>
          <c:showSerName val="0"/>
          <c:showPercent val="0"/>
          <c:showBubbleSize val="0"/>
        </c:dLbls>
        <c:gapWidth val="150"/>
        <c:overlap val="100"/>
        <c:axId val="1969499008"/>
        <c:axId val="1654178960"/>
      </c:barChart>
      <c:catAx>
        <c:axId val="196949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178960"/>
        <c:crosses val="autoZero"/>
        <c:auto val="1"/>
        <c:lblAlgn val="ctr"/>
        <c:lblOffset val="100"/>
        <c:noMultiLvlLbl val="0"/>
      </c:catAx>
      <c:valAx>
        <c:axId val="1654178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499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MECHANICAL EFFECTIVENESS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solidFill>
              <a:schemeClr val="accent1"/>
            </a:solidFill>
            <a:ln>
              <a:noFill/>
            </a:ln>
            <a:effectLst/>
          </c:spPr>
          <c:cat>
            <c:strRef>
              <c:extLst>
                <c:ext xmlns:c15="http://schemas.microsoft.com/office/drawing/2012/chart" uri="{02D57815-91ED-43cb-92C2-25804820EDAC}">
                  <c15:fullRef>
                    <c15:sqref>'INFO - MECHANICAL'!$D$55:$R$56</c15:sqref>
                  </c15:fullRef>
                  <c15:levelRef>
                    <c15:sqref>'INFO - MECHANICAL'!$D$56:$R$56</c15:sqref>
                  </c15:levelRef>
                </c:ext>
              </c:extLst>
              <c:f>'INFO - MECHANICAL'!$D$56:$R$56</c:f>
              <c:strCache>
                <c:ptCount val="13"/>
                <c:pt idx="0">
                  <c:v>MTTR (hrs)</c:v>
                </c:pt>
                <c:pt idx="3">
                  <c:v>Planned repair hrs</c:v>
                </c:pt>
                <c:pt idx="6">
                  <c:v>Actual repair hrs</c:v>
                </c:pt>
                <c:pt idx="9">
                  <c:v>Avg repair variance (hrs)</c:v>
                </c:pt>
                <c:pt idx="12">
                  <c:v>ETR compliance</c:v>
                </c:pt>
              </c:strCache>
            </c:strRef>
          </c:cat>
          <c:val>
            <c:numRef>
              <c:f>'INFO - MECHANICAL'!$D$57:$R$57</c:f>
              <c:numCache>
                <c:formatCode>#,##0.0</c:formatCode>
                <c:ptCount val="15"/>
                <c:pt idx="0">
                  <c:v>0</c:v>
                </c:pt>
                <c:pt idx="3">
                  <c:v>6</c:v>
                </c:pt>
                <c:pt idx="6">
                  <c:v>132</c:v>
                </c:pt>
                <c:pt idx="9">
                  <c:v>0</c:v>
                </c:pt>
                <c:pt idx="12" formatCode="0.0%">
                  <c:v>1</c:v>
                </c:pt>
              </c:numCache>
            </c:numRef>
          </c:val>
          <c:extLst>
            <c:ext xmlns:c16="http://schemas.microsoft.com/office/drawing/2014/chart" uri="{C3380CC4-5D6E-409C-BE32-E72D297353CC}">
              <c16:uniqueId val="{00000000-2663-4A0B-9126-D56AA20F48AB}"/>
            </c:ext>
          </c:extLst>
        </c:ser>
        <c:ser>
          <c:idx val="1"/>
          <c:order val="1"/>
          <c:spPr>
            <a:solidFill>
              <a:schemeClr val="accent2"/>
            </a:solidFill>
            <a:ln>
              <a:noFill/>
            </a:ln>
            <a:effectLst/>
          </c:spPr>
          <c:cat>
            <c:strRef>
              <c:extLst>
                <c:ext xmlns:c15="http://schemas.microsoft.com/office/drawing/2012/chart" uri="{02D57815-91ED-43cb-92C2-25804820EDAC}">
                  <c15:fullRef>
                    <c15:sqref>'INFO - MECHANICAL'!$D$55:$R$56</c15:sqref>
                  </c15:fullRef>
                  <c15:levelRef>
                    <c15:sqref>'INFO - MECHANICAL'!$D$56:$R$56</c15:sqref>
                  </c15:levelRef>
                </c:ext>
              </c:extLst>
              <c:f>'INFO - MECHANICAL'!$D$56:$R$56</c:f>
              <c:strCache>
                <c:ptCount val="13"/>
                <c:pt idx="0">
                  <c:v>MTTR (hrs)</c:v>
                </c:pt>
                <c:pt idx="3">
                  <c:v>Planned repair hrs</c:v>
                </c:pt>
                <c:pt idx="6">
                  <c:v>Actual repair hrs</c:v>
                </c:pt>
                <c:pt idx="9">
                  <c:v>Avg repair variance (hrs)</c:v>
                </c:pt>
                <c:pt idx="12">
                  <c:v>ETR compliance</c:v>
                </c:pt>
              </c:strCache>
            </c:strRef>
          </c:cat>
          <c:val>
            <c:numRef>
              <c:f>'INFO - MECHANICAL'!$D$58:$R$58</c:f>
              <c:numCache>
                <c:formatCode>#,##0.0</c:formatCode>
                <c:ptCount val="15"/>
                <c:pt idx="0">
                  <c:v>0</c:v>
                </c:pt>
                <c:pt idx="3">
                  <c:v>0</c:v>
                </c:pt>
                <c:pt idx="6">
                  <c:v>0</c:v>
                </c:pt>
                <c:pt idx="9">
                  <c:v>0</c:v>
                </c:pt>
                <c:pt idx="12" formatCode="0.0%">
                  <c:v>0</c:v>
                </c:pt>
              </c:numCache>
            </c:numRef>
          </c:val>
          <c:extLst>
            <c:ext xmlns:c16="http://schemas.microsoft.com/office/drawing/2014/chart" uri="{C3380CC4-5D6E-409C-BE32-E72D297353CC}">
              <c16:uniqueId val="{00000001-2663-4A0B-9126-D56AA20F48AB}"/>
            </c:ext>
          </c:extLst>
        </c:ser>
        <c:ser>
          <c:idx val="2"/>
          <c:order val="2"/>
          <c:spPr>
            <a:solidFill>
              <a:schemeClr val="accent3"/>
            </a:solidFill>
            <a:ln>
              <a:noFill/>
            </a:ln>
            <a:effectLst/>
          </c:spPr>
          <c:cat>
            <c:strRef>
              <c:extLst>
                <c:ext xmlns:c15="http://schemas.microsoft.com/office/drawing/2012/chart" uri="{02D57815-91ED-43cb-92C2-25804820EDAC}">
                  <c15:fullRef>
                    <c15:sqref>'INFO - MECHANICAL'!$D$55:$R$56</c15:sqref>
                  </c15:fullRef>
                  <c15:levelRef>
                    <c15:sqref>'INFO - MECHANICAL'!$D$56:$R$56</c15:sqref>
                  </c15:levelRef>
                </c:ext>
              </c:extLst>
              <c:f>'INFO - MECHANICAL'!$D$56:$R$56</c:f>
              <c:strCache>
                <c:ptCount val="13"/>
                <c:pt idx="0">
                  <c:v>MTTR (hrs)</c:v>
                </c:pt>
                <c:pt idx="3">
                  <c:v>Planned repair hrs</c:v>
                </c:pt>
                <c:pt idx="6">
                  <c:v>Actual repair hrs</c:v>
                </c:pt>
                <c:pt idx="9">
                  <c:v>Avg repair variance (hrs)</c:v>
                </c:pt>
                <c:pt idx="12">
                  <c:v>ETR compliance</c:v>
                </c:pt>
              </c:strCache>
            </c:strRef>
          </c:cat>
          <c:val>
            <c:numRef>
              <c:f>'INFO - MECHANICAL'!$D$59:$R$59</c:f>
              <c:numCache>
                <c:formatCode>#,##0</c:formatCode>
                <c:ptCount val="15"/>
                <c:pt idx="0">
                  <c:v>1</c:v>
                </c:pt>
                <c:pt idx="3">
                  <c:v>0</c:v>
                </c:pt>
                <c:pt idx="6">
                  <c:v>0</c:v>
                </c:pt>
                <c:pt idx="9">
                  <c:v>0</c:v>
                </c:pt>
                <c:pt idx="12">
                  <c:v>3</c:v>
                </c:pt>
              </c:numCache>
            </c:numRef>
          </c:val>
          <c:extLst>
            <c:ext xmlns:c16="http://schemas.microsoft.com/office/drawing/2014/chart" uri="{C3380CC4-5D6E-409C-BE32-E72D297353CC}">
              <c16:uniqueId val="{00000002-2663-4A0B-9126-D56AA20F48AB}"/>
            </c:ext>
          </c:extLst>
        </c:ser>
        <c:dLbls>
          <c:showLegendKey val="0"/>
          <c:showVal val="0"/>
          <c:showCatName val="0"/>
          <c:showSerName val="0"/>
          <c:showPercent val="0"/>
          <c:showBubbleSize val="0"/>
        </c:dLbls>
        <c:axId val="105722272"/>
        <c:axId val="1654085360"/>
      </c:areaChart>
      <c:catAx>
        <c:axId val="10572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085360"/>
        <c:crosses val="autoZero"/>
        <c:auto val="1"/>
        <c:lblAlgn val="ctr"/>
        <c:lblOffset val="100"/>
        <c:noMultiLvlLbl val="0"/>
      </c:catAx>
      <c:valAx>
        <c:axId val="16540853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22272"/>
        <c:crosses val="autoZero"/>
        <c:crossBetween val="midCat"/>
      </c:valAx>
      <c:spPr>
        <a:noFill/>
        <a:ln>
          <a:noFill/>
        </a:ln>
        <a:effectLst/>
      </c:spPr>
    </c:plotArea>
    <c:legend>
      <c:legendPos val="b"/>
      <c:overlay val="0"/>
      <c:spPr>
        <a:solidFill>
          <a:sysClr val="window" lastClr="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ZA" sz="1800" b="1" strike="noStrike" spc="-1">
                <a:solidFill>
                  <a:srgbClr val="000000"/>
                </a:solidFill>
                <a:latin typeface="Calibri"/>
              </a:rPr>
              <a:t>Labour utilisation</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1F3864"/>
              </a:solidFill>
              <a:ln w="0">
                <a:noFill/>
              </a:ln>
            </c:spPr>
            <c:extLst>
              <c:ext xmlns:c16="http://schemas.microsoft.com/office/drawing/2014/chart" uri="{C3380CC4-5D6E-409C-BE32-E72D297353CC}">
                <c16:uniqueId val="{00000001-451F-48A6-8172-8E0CA1199E93}"/>
              </c:ext>
            </c:extLst>
          </c:dPt>
          <c:dPt>
            <c:idx val="1"/>
            <c:bubble3D val="0"/>
            <c:spPr>
              <a:solidFill>
                <a:srgbClr val="FFC000"/>
              </a:solidFill>
              <a:ln w="0">
                <a:noFill/>
              </a:ln>
            </c:spPr>
            <c:extLst>
              <c:ext xmlns:c16="http://schemas.microsoft.com/office/drawing/2014/chart" uri="{C3380CC4-5D6E-409C-BE32-E72D297353CC}">
                <c16:uniqueId val="{00000003-451F-48A6-8172-8E0CA1199E93}"/>
              </c:ext>
            </c:extLst>
          </c:dPt>
          <c:dLbls>
            <c:dLbl>
              <c:idx val="0"/>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451F-48A6-8172-8E0CA1199E93}"/>
                </c:ext>
              </c:extLst>
            </c:dLbl>
            <c:dLbl>
              <c:idx val="1"/>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451F-48A6-8172-8E0CA1199E93}"/>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'MECHANIC PERFORMANCE'!$C$78:$D$78</c:f>
              <c:strCache>
                <c:ptCount val="2"/>
                <c:pt idx="0">
                  <c:v>ACHIEVED</c:v>
                </c:pt>
                <c:pt idx="1">
                  <c:v>SHORTFALL</c:v>
                </c:pt>
              </c:strCache>
            </c:strRef>
          </c:cat>
          <c:val>
            <c:numRef>
              <c:f>'MECHANIC PERFORMANCE'!$C$79:$D$79</c:f>
              <c:numCache>
                <c:formatCode>0.0%</c:formatCode>
                <c:ptCount val="2"/>
                <c:pt idx="0">
                  <c:v>0</c:v>
                </c:pt>
                <c:pt idx="1">
                  <c:v>1</c:v>
                </c:pt>
              </c:numCache>
            </c:numRef>
          </c:val>
          <c:extLst>
            <c:ext xmlns:c16="http://schemas.microsoft.com/office/drawing/2014/chart" uri="{C3380CC4-5D6E-409C-BE32-E72D297353CC}">
              <c16:uniqueId val="{00000004-451F-48A6-8172-8E0CA1199E93}"/>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ZA" sz="1800" b="1" strike="noStrike" spc="-1">
                <a:solidFill>
                  <a:srgbClr val="000000"/>
                </a:solidFill>
                <a:latin typeface="Calibri"/>
              </a:rPr>
              <a:t>ETR compliance</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1F3864"/>
              </a:solidFill>
              <a:ln w="0">
                <a:noFill/>
              </a:ln>
            </c:spPr>
            <c:extLst>
              <c:ext xmlns:c16="http://schemas.microsoft.com/office/drawing/2014/chart" uri="{C3380CC4-5D6E-409C-BE32-E72D297353CC}">
                <c16:uniqueId val="{00000001-1BB8-4F54-9043-B7BA0DCCEF83}"/>
              </c:ext>
            </c:extLst>
          </c:dPt>
          <c:dPt>
            <c:idx val="1"/>
            <c:bubble3D val="0"/>
            <c:spPr>
              <a:solidFill>
                <a:srgbClr val="FFC000"/>
              </a:solidFill>
              <a:ln w="0">
                <a:noFill/>
              </a:ln>
            </c:spPr>
            <c:extLst>
              <c:ext xmlns:c16="http://schemas.microsoft.com/office/drawing/2014/chart" uri="{C3380CC4-5D6E-409C-BE32-E72D297353CC}">
                <c16:uniqueId val="{00000003-1BB8-4F54-9043-B7BA0DCCEF83}"/>
              </c:ext>
            </c:extLst>
          </c:dPt>
          <c:dLbls>
            <c:dLbl>
              <c:idx val="0"/>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BB8-4F54-9043-B7BA0DCCEF83}"/>
                </c:ext>
              </c:extLst>
            </c:dLbl>
            <c:dLbl>
              <c:idx val="1"/>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BB8-4F54-9043-B7BA0DCCEF83}"/>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'MECHANIC PERFORMANCE'!$C$78:$D$78</c:f>
              <c:strCache>
                <c:ptCount val="2"/>
                <c:pt idx="0">
                  <c:v>ACHIEVED</c:v>
                </c:pt>
                <c:pt idx="1">
                  <c:v>SHORTFALL</c:v>
                </c:pt>
              </c:strCache>
            </c:strRef>
          </c:cat>
          <c:val>
            <c:numRef>
              <c:f>'MECHANIC PERFORMANCE'!$C$80:$D$80</c:f>
              <c:numCache>
                <c:formatCode>0.0%</c:formatCode>
                <c:ptCount val="2"/>
                <c:pt idx="0">
                  <c:v>1</c:v>
                </c:pt>
                <c:pt idx="1">
                  <c:v>0</c:v>
                </c:pt>
              </c:numCache>
            </c:numRef>
          </c:val>
          <c:extLst>
            <c:ext xmlns:c16="http://schemas.microsoft.com/office/drawing/2014/chart" uri="{C3380CC4-5D6E-409C-BE32-E72D297353CC}">
              <c16:uniqueId val="{00000004-1BB8-4F54-9043-B7BA0DCCEF83}"/>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ZA" sz="1800" b="1" strike="noStrike" spc="-1">
                <a:solidFill>
                  <a:srgbClr val="000000"/>
                </a:solidFill>
                <a:latin typeface="Calibri"/>
              </a:rPr>
              <a:t>Rental fleet availability</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375623"/>
              </a:solidFill>
              <a:ln w="0">
                <a:noFill/>
              </a:ln>
            </c:spPr>
            <c:extLst>
              <c:ext xmlns:c16="http://schemas.microsoft.com/office/drawing/2014/chart" uri="{C3380CC4-5D6E-409C-BE32-E72D297353CC}">
                <c16:uniqueId val="{00000001-0C03-44DD-9A76-F7E58AC4A7F9}"/>
              </c:ext>
            </c:extLst>
          </c:dPt>
          <c:dPt>
            <c:idx val="1"/>
            <c:bubble3D val="0"/>
            <c:spPr>
              <a:solidFill>
                <a:srgbClr val="C55A11"/>
              </a:solidFill>
              <a:ln w="0">
                <a:noFill/>
              </a:ln>
            </c:spPr>
            <c:extLst>
              <c:ext xmlns:c16="http://schemas.microsoft.com/office/drawing/2014/chart" uri="{C3380CC4-5D6E-409C-BE32-E72D297353CC}">
                <c16:uniqueId val="{00000003-0C03-44DD-9A76-F7E58AC4A7F9}"/>
              </c:ext>
            </c:extLst>
          </c:dPt>
          <c:dLbls>
            <c:dLbl>
              <c:idx val="0"/>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0C03-44DD-9A76-F7E58AC4A7F9}"/>
                </c:ext>
              </c:extLst>
            </c:dLbl>
            <c:dLbl>
              <c:idx val="1"/>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0C03-44DD-9A76-F7E58AC4A7F9}"/>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'MECHANIC PERFORMANCE'!$C$78:$D$78</c:f>
              <c:strCache>
                <c:ptCount val="2"/>
                <c:pt idx="0">
                  <c:v>ACHIEVED</c:v>
                </c:pt>
                <c:pt idx="1">
                  <c:v>SHORTFALL</c:v>
                </c:pt>
              </c:strCache>
            </c:strRef>
          </c:cat>
          <c:val>
            <c:numRef>
              <c:f>'MECHANIC PERFORMANCE'!$C$81:$D$81</c:f>
              <c:numCache>
                <c:formatCode>0.0%</c:formatCode>
                <c:ptCount val="2"/>
                <c:pt idx="0">
                  <c:v>0</c:v>
                </c:pt>
                <c:pt idx="1">
                  <c:v>1</c:v>
                </c:pt>
              </c:numCache>
            </c:numRef>
          </c:val>
          <c:extLst>
            <c:ext xmlns:c16="http://schemas.microsoft.com/office/drawing/2014/chart" uri="{C3380CC4-5D6E-409C-BE32-E72D297353CC}">
              <c16:uniqueId val="{00000004-0C03-44DD-9A76-F7E58AC4A7F9}"/>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ZA" sz="1800" b="1" strike="noStrike" spc="-1">
                <a:solidFill>
                  <a:srgbClr val="000000"/>
                </a:solidFill>
                <a:latin typeface="Calibri"/>
              </a:rPr>
              <a:t>Planned vs actual repair hours per mechanic</a:t>
            </a:r>
          </a:p>
        </c:rich>
      </c:tx>
      <c:overlay val="0"/>
      <c:spPr>
        <a:noFill/>
        <a:ln w="0">
          <a:noFill/>
        </a:ln>
      </c:spPr>
    </c:title>
    <c:autoTitleDeleted val="0"/>
    <c:plotArea>
      <c:layout/>
      <c:barChart>
        <c:barDir val="col"/>
        <c:grouping val="clustered"/>
        <c:varyColors val="0"/>
        <c:ser>
          <c:idx val="0"/>
          <c:order val="0"/>
          <c:tx>
            <c:strRef>
              <c:f>'MECHANIC PERFORMANCE'!$K$6</c:f>
              <c:strCache>
                <c:ptCount val="1"/>
                <c:pt idx="0">
                  <c:v>PLANNED
REPAIR HRS</c:v>
                </c:pt>
              </c:strCache>
            </c:strRef>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'MECHANIC PERFORMANCE'!$B$7:$B$10</c:f>
              <c:strCache>
                <c:ptCount val="4"/>
                <c:pt idx="0">
                  <c:v>Lindokuhle Ntombela</c:v>
                </c:pt>
                <c:pt idx="1">
                  <c:v>Motlalepula Molefe</c:v>
                </c:pt>
                <c:pt idx="2">
                  <c:v>Thabo Monyane</c:v>
                </c:pt>
                <c:pt idx="3">
                  <c:v>Tshepang Maepa</c:v>
                </c:pt>
              </c:strCache>
            </c:strRef>
          </c:cat>
          <c:val>
            <c:numRef>
              <c:f>'MECHANIC PERFORMANCE'!$K$7:$K$10</c:f>
              <c:numCache>
                <c:formatCode>#,##0.0</c:formatCode>
                <c:ptCount val="4"/>
                <c:pt idx="0">
                  <c:v>6</c:v>
                </c:pt>
                <c:pt idx="1">
                  <c:v>0</c:v>
                </c:pt>
                <c:pt idx="2">
                  <c:v>0</c:v>
                </c:pt>
                <c:pt idx="3">
                  <c:v>0</c:v>
                </c:pt>
              </c:numCache>
            </c:numRef>
          </c:val>
          <c:extLst>
            <c:ext xmlns:c16="http://schemas.microsoft.com/office/drawing/2014/chart" uri="{C3380CC4-5D6E-409C-BE32-E72D297353CC}">
              <c16:uniqueId val="{00000000-0244-4B83-BDA9-A21396176540}"/>
            </c:ext>
          </c:extLst>
        </c:ser>
        <c:ser>
          <c:idx val="1"/>
          <c:order val="1"/>
          <c:tx>
            <c:strRef>
              <c:f>'MECHANIC PERFORMANCE'!$L$6</c:f>
              <c:strCache>
                <c:ptCount val="1"/>
                <c:pt idx="0">
                  <c:v>ACTUAL
REPAIR HRS</c:v>
                </c:pt>
              </c:strCache>
            </c:strRef>
          </c:tx>
          <c:spPr>
            <a:solidFill>
              <a:srgbClr val="FFC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'MECHANIC PERFORMANCE'!$B$7:$B$10</c:f>
              <c:strCache>
                <c:ptCount val="4"/>
                <c:pt idx="0">
                  <c:v>Lindokuhle Ntombela</c:v>
                </c:pt>
                <c:pt idx="1">
                  <c:v>Motlalepula Molefe</c:v>
                </c:pt>
                <c:pt idx="2">
                  <c:v>Thabo Monyane</c:v>
                </c:pt>
                <c:pt idx="3">
                  <c:v>Tshepang Maepa</c:v>
                </c:pt>
              </c:strCache>
            </c:strRef>
          </c:cat>
          <c:val>
            <c:numRef>
              <c:f>'MECHANIC PERFORMANCE'!$L$7:$L$10</c:f>
              <c:numCache>
                <c:formatCode>#,##0.0</c:formatCode>
                <c:ptCount val="4"/>
                <c:pt idx="0">
                  <c:v>132</c:v>
                </c:pt>
                <c:pt idx="1">
                  <c:v>0</c:v>
                </c:pt>
                <c:pt idx="2">
                  <c:v>0</c:v>
                </c:pt>
                <c:pt idx="3">
                  <c:v>0</c:v>
                </c:pt>
              </c:numCache>
            </c:numRef>
          </c:val>
          <c:extLst>
            <c:ext xmlns:c16="http://schemas.microsoft.com/office/drawing/2014/chart" uri="{C3380CC4-5D6E-409C-BE32-E72D297353CC}">
              <c16:uniqueId val="{00000001-0244-4B83-BDA9-A21396176540}"/>
            </c:ext>
          </c:extLst>
        </c:ser>
        <c:dLbls>
          <c:showLegendKey val="0"/>
          <c:showVal val="0"/>
          <c:showCatName val="0"/>
          <c:showSerName val="0"/>
          <c:showPercent val="0"/>
          <c:showBubbleSize val="0"/>
        </c:dLbls>
        <c:gapWidth val="150"/>
        <c:axId val="99186128"/>
        <c:axId val="72561040"/>
      </c:barChart>
      <c:catAx>
        <c:axId val="99186128"/>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2561040"/>
        <c:crosses val="autoZero"/>
        <c:auto val="1"/>
        <c:lblAlgn val="ctr"/>
        <c:lblOffset val="100"/>
        <c:noMultiLvlLbl val="0"/>
      </c:catAx>
      <c:valAx>
        <c:axId val="7256104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ZA" sz="1000" b="1" strike="noStrike" spc="-1">
                    <a:solidFill>
                      <a:srgbClr val="000000"/>
                    </a:solidFill>
                    <a:latin typeface="Calibri"/>
                  </a:rPr>
                  <a:t>Hours</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918612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ZA" sz="1800" b="1" strike="noStrike" spc="-1">
                <a:solidFill>
                  <a:srgbClr val="000000"/>
                </a:solidFill>
                <a:latin typeface="Calibri"/>
              </a:rPr>
              <a:t>MTTR by mechanic (hours)</a:t>
            </a:r>
          </a:p>
        </c:rich>
      </c:tx>
      <c:overlay val="0"/>
      <c:spPr>
        <a:noFill/>
        <a:ln w="0">
          <a:noFill/>
        </a:ln>
      </c:spPr>
    </c:title>
    <c:autoTitleDeleted val="0"/>
    <c:plotArea>
      <c:layout/>
      <c:barChart>
        <c:barDir val="col"/>
        <c:grouping val="clustered"/>
        <c:varyColors val="0"/>
        <c:ser>
          <c:idx val="0"/>
          <c:order val="0"/>
          <c:tx>
            <c:strRef>
              <c:f>'MECHANIC PERFORMANCE'!$N$6</c:f>
              <c:strCache>
                <c:ptCount val="1"/>
                <c:pt idx="0">
                  <c:v>MTTR
(HRS)</c:v>
                </c:pt>
              </c:strCache>
            </c:strRef>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'MECHANIC PERFORMANCE'!$B$7:$B$10</c:f>
              <c:strCache>
                <c:ptCount val="4"/>
                <c:pt idx="0">
                  <c:v>Lindokuhle Ntombela</c:v>
                </c:pt>
                <c:pt idx="1">
                  <c:v>Motlalepula Molefe</c:v>
                </c:pt>
                <c:pt idx="2">
                  <c:v>Thabo Monyane</c:v>
                </c:pt>
                <c:pt idx="3">
                  <c:v>Tshepang Maepa</c:v>
                </c:pt>
              </c:strCache>
            </c:strRef>
          </c:cat>
          <c:val>
            <c:numRef>
              <c:f>'MECHANIC PERFORMANCE'!$N$7:$N$10</c:f>
              <c:numCache>
                <c:formatCode>#,##0.0</c:formatCode>
                <c:ptCount val="4"/>
                <c:pt idx="0">
                  <c:v>0</c:v>
                </c:pt>
                <c:pt idx="1">
                  <c:v>0</c:v>
                </c:pt>
                <c:pt idx="2">
                  <c:v>0</c:v>
                </c:pt>
                <c:pt idx="3">
                  <c:v>0</c:v>
                </c:pt>
              </c:numCache>
            </c:numRef>
          </c:val>
          <c:extLst>
            <c:ext xmlns:c16="http://schemas.microsoft.com/office/drawing/2014/chart" uri="{C3380CC4-5D6E-409C-BE32-E72D297353CC}">
              <c16:uniqueId val="{00000000-CCB5-406D-908B-84231B986C19}"/>
            </c:ext>
          </c:extLst>
        </c:ser>
        <c:dLbls>
          <c:showLegendKey val="0"/>
          <c:showVal val="0"/>
          <c:showCatName val="0"/>
          <c:showSerName val="0"/>
          <c:showPercent val="0"/>
          <c:showBubbleSize val="0"/>
        </c:dLbls>
        <c:gapWidth val="150"/>
        <c:axId val="13089604"/>
        <c:axId val="2920689"/>
      </c:barChart>
      <c:catAx>
        <c:axId val="13089604"/>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920689"/>
        <c:crosses val="autoZero"/>
        <c:auto val="1"/>
        <c:lblAlgn val="ctr"/>
        <c:lblOffset val="100"/>
        <c:noMultiLvlLbl val="0"/>
      </c:catAx>
      <c:valAx>
        <c:axId val="2920689"/>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ZA" sz="1000" b="1" strike="noStrike" spc="-1">
                    <a:solidFill>
                      <a:srgbClr val="000000"/>
                    </a:solidFill>
                    <a:latin typeface="Calibri"/>
                  </a:rPr>
                  <a:t>Hours</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308960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size">
        <cx:f dir="row">_xlchart.v1.1</cx:f>
      </cx:numDim>
    </cx:data>
  </cx:chartData>
  <cx:chart>
    <cx:title pos="t" align="ctr" overlay="0">
      <cx:tx>
        <cx:txData>
          <cx:v>MAINTENANCE</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rPr>
            <a:t>MAINTENANCE</a:t>
          </a:r>
        </a:p>
      </cx:txPr>
    </cx:title>
    <cx:plotArea>
      <cx:plotAreaRegion>
        <cx:series layoutId="sunburst" uniqueId="{00000000-EC99-4572-A6B3-AC59D2F0F576}">
          <cx:dataLabels pos="ctr">
            <cx:visibility seriesName="0" categoryName="1" value="0"/>
          </cx:dataLabels>
          <cx:dataId val="0"/>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7.xml"/><Relationship Id="rId3" Type="http://schemas.openxmlformats.org/officeDocument/2006/relationships/chart" Target="../charts/chart3.xml"/><Relationship Id="rId21" Type="http://schemas.openxmlformats.org/officeDocument/2006/relationships/chart" Target="../charts/chart20.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6.xml"/><Relationship Id="rId2" Type="http://schemas.openxmlformats.org/officeDocument/2006/relationships/chart" Target="../charts/chart2.xml"/><Relationship Id="rId16" Type="http://schemas.openxmlformats.org/officeDocument/2006/relationships/chart" Target="../charts/chart15.xml"/><Relationship Id="rId20" Type="http://schemas.openxmlformats.org/officeDocument/2006/relationships/chart" Target="../charts/chart1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microsoft.com/office/2014/relationships/chartEx" Target="../charts/chartEx1.xml"/><Relationship Id="rId10" Type="http://schemas.openxmlformats.org/officeDocument/2006/relationships/chart" Target="../charts/chart10.xml"/><Relationship Id="rId19" Type="http://schemas.openxmlformats.org/officeDocument/2006/relationships/chart" Target="../charts/chart18.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258744</xdr:colOff>
      <xdr:row>2</xdr:row>
      <xdr:rowOff>53788</xdr:rowOff>
    </xdr:from>
    <xdr:to>
      <xdr:col>21</xdr:col>
      <xdr:colOff>118782</xdr:colOff>
      <xdr:row>22</xdr:row>
      <xdr:rowOff>116540</xdr:rowOff>
    </xdr:to>
    <xdr:sp macro="" textlink="">
      <xdr:nvSpPr>
        <xdr:cNvPr id="29" name="Rectangle: Rounded Corners 28">
          <a:extLst>
            <a:ext uri="{FF2B5EF4-FFF2-40B4-BE49-F238E27FC236}">
              <a16:creationId xmlns:a16="http://schemas.microsoft.com/office/drawing/2014/main" id="{0D8CF7B7-B93C-B8FB-6B7F-45D43AF58A08}"/>
            </a:ext>
          </a:extLst>
        </xdr:cNvPr>
        <xdr:cNvSpPr/>
      </xdr:nvSpPr>
      <xdr:spPr>
        <a:xfrm>
          <a:off x="258744" y="466164"/>
          <a:ext cx="14409756" cy="3648635"/>
        </a:xfrm>
        <a:prstGeom prst="round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2000" b="1">
              <a:solidFill>
                <a:srgbClr val="800000"/>
              </a:solidFill>
            </a:rPr>
            <a:t>FLEET ULILISATION AGAINST TARGET - ONE RING PER MACHINE</a:t>
          </a:r>
        </a:p>
      </xdr:txBody>
    </xdr:sp>
    <xdr:clientData/>
  </xdr:twoCellAnchor>
  <xdr:twoCellAnchor editAs="oneCell">
    <xdr:from>
      <xdr:col>0</xdr:col>
      <xdr:colOff>478191</xdr:colOff>
      <xdr:row>6</xdr:row>
      <xdr:rowOff>30311</xdr:rowOff>
    </xdr:from>
    <xdr:to>
      <xdr:col>4</xdr:col>
      <xdr:colOff>318573</xdr:colOff>
      <xdr:row>21</xdr:row>
      <xdr:rowOff>171563</xdr:rowOff>
    </xdr:to>
    <xdr:graphicFrame macro="">
      <xdr:nvGraphicFramePr>
        <xdr:cNvPr id="2" name="Chart 6">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487864</xdr:colOff>
      <xdr:row>5</xdr:row>
      <xdr:rowOff>178001</xdr:rowOff>
    </xdr:from>
    <xdr:to>
      <xdr:col>7</xdr:col>
      <xdr:colOff>399502</xdr:colOff>
      <xdr:row>21</xdr:row>
      <xdr:rowOff>154134</xdr:rowOff>
    </xdr:to>
    <xdr:graphicFrame macro="">
      <xdr:nvGraphicFramePr>
        <xdr:cNvPr id="3" name="Chart 7">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104054</xdr:colOff>
      <xdr:row>6</xdr:row>
      <xdr:rowOff>16488</xdr:rowOff>
    </xdr:from>
    <xdr:to>
      <xdr:col>11</xdr:col>
      <xdr:colOff>63317</xdr:colOff>
      <xdr:row>21</xdr:row>
      <xdr:rowOff>168105</xdr:rowOff>
    </xdr:to>
    <xdr:graphicFrame macro="">
      <xdr:nvGraphicFramePr>
        <xdr:cNvPr id="4" name="Chart 8">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581084</xdr:colOff>
      <xdr:row>6</xdr:row>
      <xdr:rowOff>31184</xdr:rowOff>
    </xdr:from>
    <xdr:to>
      <xdr:col>14</xdr:col>
      <xdr:colOff>527012</xdr:colOff>
      <xdr:row>21</xdr:row>
      <xdr:rowOff>173277</xdr:rowOff>
    </xdr:to>
    <xdr:graphicFrame macro="">
      <xdr:nvGraphicFramePr>
        <xdr:cNvPr id="5" name="Chart 9">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717176</xdr:colOff>
      <xdr:row>7</xdr:row>
      <xdr:rowOff>0</xdr:rowOff>
    </xdr:from>
    <xdr:to>
      <xdr:col>19</xdr:col>
      <xdr:colOff>555812</xdr:colOff>
      <xdr:row>21</xdr:row>
      <xdr:rowOff>71717</xdr:rowOff>
    </xdr:to>
    <xdr:graphicFrame macro="">
      <xdr:nvGraphicFramePr>
        <xdr:cNvPr id="6" name="Chart 10">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259978</xdr:colOff>
      <xdr:row>23</xdr:row>
      <xdr:rowOff>53788</xdr:rowOff>
    </xdr:from>
    <xdr:to>
      <xdr:col>21</xdr:col>
      <xdr:colOff>120016</xdr:colOff>
      <xdr:row>48</xdr:row>
      <xdr:rowOff>80682</xdr:rowOff>
    </xdr:to>
    <xdr:sp macro="" textlink="">
      <xdr:nvSpPr>
        <xdr:cNvPr id="19" name="Rectangle: Rounded Corners 18">
          <a:extLst>
            <a:ext uri="{FF2B5EF4-FFF2-40B4-BE49-F238E27FC236}">
              <a16:creationId xmlns:a16="http://schemas.microsoft.com/office/drawing/2014/main" id="{6862B372-5420-4341-B644-CDB0134FF246}"/>
            </a:ext>
          </a:extLst>
        </xdr:cNvPr>
        <xdr:cNvSpPr/>
      </xdr:nvSpPr>
      <xdr:spPr>
        <a:xfrm>
          <a:off x="259978" y="4231341"/>
          <a:ext cx="14409756" cy="4509247"/>
        </a:xfrm>
        <a:prstGeom prst="round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800" b="1">
              <a:solidFill>
                <a:srgbClr val="800000"/>
              </a:solidFill>
            </a:rPr>
            <a:t>CUMULATIVE</a:t>
          </a:r>
          <a:r>
            <a:rPr lang="en-ZA" sz="1800" b="1" baseline="0">
              <a:solidFill>
                <a:srgbClr val="800000"/>
              </a:solidFill>
            </a:rPr>
            <a:t> FLEET HOURS - TARGET VS ACTUAL                                                              PLANNED VS ACTUAL HOURS PER MACHINE</a:t>
          </a:r>
          <a:endParaRPr lang="en-ZA" sz="1800" b="1">
            <a:solidFill>
              <a:srgbClr val="800000"/>
            </a:solidFill>
          </a:endParaRPr>
        </a:p>
      </xdr:txBody>
    </xdr:sp>
    <xdr:clientData/>
  </xdr:twoCellAnchor>
  <xdr:twoCellAnchor editAs="oneCell">
    <xdr:from>
      <xdr:col>1</xdr:col>
      <xdr:colOff>126148</xdr:colOff>
      <xdr:row>29</xdr:row>
      <xdr:rowOff>172518</xdr:rowOff>
    </xdr:from>
    <xdr:to>
      <xdr:col>9</xdr:col>
      <xdr:colOff>74008</xdr:colOff>
      <xdr:row>48</xdr:row>
      <xdr:rowOff>157248</xdr:rowOff>
    </xdr:to>
    <xdr:graphicFrame macro="">
      <xdr:nvGraphicFramePr>
        <xdr:cNvPr id="7" name="Chart 11">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672324</xdr:colOff>
      <xdr:row>28</xdr:row>
      <xdr:rowOff>159953</xdr:rowOff>
    </xdr:from>
    <xdr:to>
      <xdr:col>19</xdr:col>
      <xdr:colOff>399839</xdr:colOff>
      <xdr:row>47</xdr:row>
      <xdr:rowOff>164783</xdr:rowOff>
    </xdr:to>
    <xdr:graphicFrame macro="">
      <xdr:nvGraphicFramePr>
        <xdr:cNvPr id="8" name="Chart 12">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188258</xdr:colOff>
      <xdr:row>49</xdr:row>
      <xdr:rowOff>71719</xdr:rowOff>
    </xdr:from>
    <xdr:to>
      <xdr:col>22</xdr:col>
      <xdr:colOff>215152</xdr:colOff>
      <xdr:row>73</xdr:row>
      <xdr:rowOff>125506</xdr:rowOff>
    </xdr:to>
    <xdr:sp macro="" textlink="">
      <xdr:nvSpPr>
        <xdr:cNvPr id="20" name="Rectangle: Rounded Corners 19">
          <a:extLst>
            <a:ext uri="{FF2B5EF4-FFF2-40B4-BE49-F238E27FC236}">
              <a16:creationId xmlns:a16="http://schemas.microsoft.com/office/drawing/2014/main" id="{3863BB21-3DA4-4F0D-82E9-87C3B4FE975C}"/>
            </a:ext>
          </a:extLst>
        </xdr:cNvPr>
        <xdr:cNvSpPr/>
      </xdr:nvSpPr>
      <xdr:spPr>
        <a:xfrm>
          <a:off x="188258" y="8910919"/>
          <a:ext cx="15186212" cy="4356846"/>
        </a:xfrm>
        <a:prstGeom prst="round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2000" b="1">
              <a:solidFill>
                <a:srgbClr val="800000"/>
              </a:solidFill>
            </a:rPr>
            <a:t>AVAILABILITY AGAINST TARGET PER MACHINE</a:t>
          </a:r>
        </a:p>
      </xdr:txBody>
    </xdr:sp>
    <xdr:clientData/>
  </xdr:twoCellAnchor>
  <xdr:twoCellAnchor editAs="oneCell">
    <xdr:from>
      <xdr:col>0</xdr:col>
      <xdr:colOff>430308</xdr:colOff>
      <xdr:row>55</xdr:row>
      <xdr:rowOff>161364</xdr:rowOff>
    </xdr:from>
    <xdr:to>
      <xdr:col>4</xdr:col>
      <xdr:colOff>635557</xdr:colOff>
      <xdr:row>70</xdr:row>
      <xdr:rowOff>156434</xdr:rowOff>
    </xdr:to>
    <xdr:graphicFrame macro="">
      <xdr:nvGraphicFramePr>
        <xdr:cNvPr id="9" name="Chart 13">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0</xdr:colOff>
      <xdr:row>55</xdr:row>
      <xdr:rowOff>161365</xdr:rowOff>
    </xdr:from>
    <xdr:to>
      <xdr:col>8</xdr:col>
      <xdr:colOff>197223</xdr:colOff>
      <xdr:row>70</xdr:row>
      <xdr:rowOff>160640</xdr:rowOff>
    </xdr:to>
    <xdr:graphicFrame macro="">
      <xdr:nvGraphicFramePr>
        <xdr:cNvPr id="10" name="Chart 14">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242046</xdr:colOff>
      <xdr:row>55</xdr:row>
      <xdr:rowOff>107576</xdr:rowOff>
    </xdr:from>
    <xdr:to>
      <xdr:col>11</xdr:col>
      <xdr:colOff>582705</xdr:colOff>
      <xdr:row>70</xdr:row>
      <xdr:rowOff>148680</xdr:rowOff>
    </xdr:to>
    <xdr:graphicFrame macro="">
      <xdr:nvGraphicFramePr>
        <xdr:cNvPr id="11" name="Chart 15">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600636</xdr:colOff>
      <xdr:row>55</xdr:row>
      <xdr:rowOff>143437</xdr:rowOff>
    </xdr:from>
    <xdr:to>
      <xdr:col>15</xdr:col>
      <xdr:colOff>295836</xdr:colOff>
      <xdr:row>70</xdr:row>
      <xdr:rowOff>141518</xdr:rowOff>
    </xdr:to>
    <xdr:graphicFrame macro="">
      <xdr:nvGraphicFramePr>
        <xdr:cNvPr id="12" name="Chart 16">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564776</xdr:colOff>
      <xdr:row>55</xdr:row>
      <xdr:rowOff>143435</xdr:rowOff>
    </xdr:from>
    <xdr:to>
      <xdr:col>19</xdr:col>
      <xdr:colOff>600634</xdr:colOff>
      <xdr:row>71</xdr:row>
      <xdr:rowOff>15360</xdr:rowOff>
    </xdr:to>
    <xdr:graphicFrame macro="">
      <xdr:nvGraphicFramePr>
        <xdr:cNvPr id="13" name="Chart 17">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233080</xdr:colOff>
      <xdr:row>74</xdr:row>
      <xdr:rowOff>148590</xdr:rowOff>
    </xdr:from>
    <xdr:to>
      <xdr:col>22</xdr:col>
      <xdr:colOff>20170</xdr:colOff>
      <xdr:row>112</xdr:row>
      <xdr:rowOff>163269</xdr:rowOff>
    </xdr:to>
    <xdr:sp macro="" textlink="">
      <xdr:nvSpPr>
        <xdr:cNvPr id="21" name="Rectangle: Rounded Corners 20">
          <a:extLst>
            <a:ext uri="{FF2B5EF4-FFF2-40B4-BE49-F238E27FC236}">
              <a16:creationId xmlns:a16="http://schemas.microsoft.com/office/drawing/2014/main" id="{E432E940-3D94-4787-9321-EAB4B5E0282F}"/>
            </a:ext>
          </a:extLst>
        </xdr:cNvPr>
        <xdr:cNvSpPr/>
      </xdr:nvSpPr>
      <xdr:spPr>
        <a:xfrm>
          <a:off x="233080" y="13470143"/>
          <a:ext cx="14946408" cy="6899573"/>
        </a:xfrm>
        <a:prstGeom prst="round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2800" b="1">
              <a:solidFill>
                <a:srgbClr val="800000"/>
              </a:solidFill>
            </a:rPr>
            <a:t>OVERVIEW SUMMARY ON KPI'S</a:t>
          </a:r>
        </a:p>
      </xdr:txBody>
    </xdr:sp>
    <xdr:clientData/>
  </xdr:twoCellAnchor>
  <xdr:twoCellAnchor>
    <xdr:from>
      <xdr:col>2</xdr:col>
      <xdr:colOff>26893</xdr:colOff>
      <xdr:row>80</xdr:row>
      <xdr:rowOff>70595</xdr:rowOff>
    </xdr:from>
    <xdr:to>
      <xdr:col>7</xdr:col>
      <xdr:colOff>745527</xdr:colOff>
      <xdr:row>97</xdr:row>
      <xdr:rowOff>47848</xdr:rowOff>
    </xdr:to>
    <xdr:graphicFrame macro="">
      <xdr:nvGraphicFramePr>
        <xdr:cNvPr id="22" name="Chart 21">
          <a:extLst>
            <a:ext uri="{FF2B5EF4-FFF2-40B4-BE49-F238E27FC236}">
              <a16:creationId xmlns:a16="http://schemas.microsoft.com/office/drawing/2014/main" id="{26ADF706-4354-7A56-31B1-7E430866B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71717</xdr:colOff>
      <xdr:row>80</xdr:row>
      <xdr:rowOff>71717</xdr:rowOff>
    </xdr:from>
    <xdr:to>
      <xdr:col>14</xdr:col>
      <xdr:colOff>142762</xdr:colOff>
      <xdr:row>97</xdr:row>
      <xdr:rowOff>50875</xdr:rowOff>
    </xdr:to>
    <xdr:graphicFrame macro="">
      <xdr:nvGraphicFramePr>
        <xdr:cNvPr id="25" name="Chart 24">
          <a:extLst>
            <a:ext uri="{FF2B5EF4-FFF2-40B4-BE49-F238E27FC236}">
              <a16:creationId xmlns:a16="http://schemas.microsoft.com/office/drawing/2014/main" id="{7C4E53DA-C2F5-455A-9B0A-761A2EF15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242046</xdr:colOff>
      <xdr:row>80</xdr:row>
      <xdr:rowOff>71715</xdr:rowOff>
    </xdr:from>
    <xdr:to>
      <xdr:col>20</xdr:col>
      <xdr:colOff>600635</xdr:colOff>
      <xdr:row>97</xdr:row>
      <xdr:rowOff>50873</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9AC94AB8-38F1-4488-96B4-7AE444D0AC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109946" y="14724975"/>
              <a:ext cx="4450529" cy="2806178"/>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44822</xdr:colOff>
      <xdr:row>97</xdr:row>
      <xdr:rowOff>134470</xdr:rowOff>
    </xdr:from>
    <xdr:to>
      <xdr:col>20</xdr:col>
      <xdr:colOff>591669</xdr:colOff>
      <xdr:row>111</xdr:row>
      <xdr:rowOff>8963</xdr:rowOff>
    </xdr:to>
    <xdr:graphicFrame macro="">
      <xdr:nvGraphicFramePr>
        <xdr:cNvPr id="28" name="Chart 27">
          <a:extLst>
            <a:ext uri="{FF2B5EF4-FFF2-40B4-BE49-F238E27FC236}">
              <a16:creationId xmlns:a16="http://schemas.microsoft.com/office/drawing/2014/main" id="{969F7A8F-41D8-4AF6-9DF2-B6E9D8639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439270</xdr:colOff>
      <xdr:row>113</xdr:row>
      <xdr:rowOff>215154</xdr:rowOff>
    </xdr:from>
    <xdr:to>
      <xdr:col>21</xdr:col>
      <xdr:colOff>299308</xdr:colOff>
      <xdr:row>155</xdr:row>
      <xdr:rowOff>1</xdr:rowOff>
    </xdr:to>
    <xdr:sp macro="" textlink="">
      <xdr:nvSpPr>
        <xdr:cNvPr id="23" name="Rectangle: Rounded Corners 22">
          <a:extLst>
            <a:ext uri="{FF2B5EF4-FFF2-40B4-BE49-F238E27FC236}">
              <a16:creationId xmlns:a16="http://schemas.microsoft.com/office/drawing/2014/main" id="{B4D18A45-C636-408F-9BDD-53A7837EB9E7}"/>
            </a:ext>
          </a:extLst>
        </xdr:cNvPr>
        <xdr:cNvSpPr/>
      </xdr:nvSpPr>
      <xdr:spPr>
        <a:xfrm>
          <a:off x="439270" y="20708472"/>
          <a:ext cx="14409756" cy="7422776"/>
        </a:xfrm>
        <a:prstGeom prst="round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2400" b="1">
              <a:solidFill>
                <a:srgbClr val="800000"/>
              </a:solidFill>
            </a:rPr>
            <a:t>MECHANIC PERFORMANCE FIGURES </a:t>
          </a:r>
        </a:p>
      </xdr:txBody>
    </xdr:sp>
    <xdr:clientData/>
  </xdr:twoCellAnchor>
  <xdr:twoCellAnchor editAs="oneCell">
    <xdr:from>
      <xdr:col>1</xdr:col>
      <xdr:colOff>197224</xdr:colOff>
      <xdr:row>119</xdr:row>
      <xdr:rowOff>96656</xdr:rowOff>
    </xdr:from>
    <xdr:to>
      <xdr:col>7</xdr:col>
      <xdr:colOff>256324</xdr:colOff>
      <xdr:row>134</xdr:row>
      <xdr:rowOff>89516</xdr:rowOff>
    </xdr:to>
    <xdr:graphicFrame macro="">
      <xdr:nvGraphicFramePr>
        <xdr:cNvPr id="14" name="Chart 1">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8</xdr:col>
      <xdr:colOff>80682</xdr:colOff>
      <xdr:row>119</xdr:row>
      <xdr:rowOff>78726</xdr:rowOff>
    </xdr:from>
    <xdr:to>
      <xdr:col>13</xdr:col>
      <xdr:colOff>339672</xdr:colOff>
      <xdr:row>134</xdr:row>
      <xdr:rowOff>71586</xdr:rowOff>
    </xdr:to>
    <xdr:graphicFrame macro="">
      <xdr:nvGraphicFramePr>
        <xdr:cNvPr id="15" name="Chart 2">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13</xdr:col>
      <xdr:colOff>161364</xdr:colOff>
      <xdr:row>119</xdr:row>
      <xdr:rowOff>96657</xdr:rowOff>
    </xdr:from>
    <xdr:to>
      <xdr:col>18</xdr:col>
      <xdr:colOff>569754</xdr:colOff>
      <xdr:row>134</xdr:row>
      <xdr:rowOff>89517</xdr:rowOff>
    </xdr:to>
    <xdr:graphicFrame macro="">
      <xdr:nvGraphicFramePr>
        <xdr:cNvPr id="16" name="Chart 3">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197223</xdr:colOff>
      <xdr:row>136</xdr:row>
      <xdr:rowOff>33903</xdr:rowOff>
    </xdr:from>
    <xdr:to>
      <xdr:col>8</xdr:col>
      <xdr:colOff>733263</xdr:colOff>
      <xdr:row>151</xdr:row>
      <xdr:rowOff>26403</xdr:rowOff>
    </xdr:to>
    <xdr:graphicFrame macro="">
      <xdr:nvGraphicFramePr>
        <xdr:cNvPr id="17" name="Chart 4">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9</xdr:col>
      <xdr:colOff>502023</xdr:colOff>
      <xdr:row>136</xdr:row>
      <xdr:rowOff>7009</xdr:rowOff>
    </xdr:from>
    <xdr:to>
      <xdr:col>16</xdr:col>
      <xdr:colOff>489088</xdr:colOff>
      <xdr:row>150</xdr:row>
      <xdr:rowOff>178804</xdr:rowOff>
    </xdr:to>
    <xdr:graphicFrame macro="">
      <xdr:nvGraphicFramePr>
        <xdr:cNvPr id="18" name="Chart 5">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114"/>
  <sheetViews>
    <sheetView showGridLines="0" zoomScale="85" zoomScaleNormal="85" workbookViewId="0">
      <selection activeCell="W14" sqref="W14"/>
    </sheetView>
  </sheetViews>
  <sheetFormatPr defaultColWidth="8.88671875" defaultRowHeight="14.4" x14ac:dyDescent="0.3"/>
  <cols>
    <col min="1" max="1" width="8.88671875" style="3"/>
    <col min="2" max="2" width="3" style="3" customWidth="1"/>
    <col min="3" max="17" width="11" style="3" customWidth="1"/>
    <col min="18" max="16384" width="8.88671875" style="3"/>
  </cols>
  <sheetData>
    <row r="2" spans="2:2" ht="18" customHeight="1" x14ac:dyDescent="0.35">
      <c r="B2" s="4" t="s">
        <v>0</v>
      </c>
    </row>
    <row r="3" spans="2:2" ht="14.25" customHeight="1" x14ac:dyDescent="0.3">
      <c r="B3" s="5"/>
    </row>
    <row r="4" spans="2:2" ht="14.25" customHeight="1" x14ac:dyDescent="0.3">
      <c r="B4" s="5"/>
    </row>
    <row r="72" spans="2:2" ht="14.25" customHeight="1" x14ac:dyDescent="0.3">
      <c r="B72" s="5"/>
    </row>
    <row r="87" spans="2:14" ht="14.25" hidden="1" customHeight="1" x14ac:dyDescent="0.3">
      <c r="B87" s="6" t="s">
        <v>1</v>
      </c>
      <c r="E87" s="6" t="s">
        <v>2</v>
      </c>
      <c r="H87" s="6" t="s">
        <v>3</v>
      </c>
      <c r="K87" s="6" t="s">
        <v>4</v>
      </c>
      <c r="N87" s="6" t="s">
        <v>5</v>
      </c>
    </row>
    <row r="88" spans="2:14" ht="23.25" hidden="1" customHeight="1" x14ac:dyDescent="0.45">
      <c r="B88" s="7">
        <f>'FLEET SUMMARY'!H12</f>
        <v>0.22616487455197132</v>
      </c>
      <c r="E88" s="7">
        <f>'FLEET SUMMARY'!J12</f>
        <v>0.62740740740740741</v>
      </c>
      <c r="H88" s="8">
        <f>COUNTIF('FLEET SUMMARY'!M7:M11,"ON TARGET")</f>
        <v>0</v>
      </c>
      <c r="K88" s="9">
        <f>'FLEET SUMMARY'!E12</f>
        <v>631</v>
      </c>
      <c r="N88" s="9">
        <f>'FLEET SUMMARY'!K12+'FLEET SUMMARY'!L12</f>
        <v>723</v>
      </c>
    </row>
    <row r="96" spans="2:14" ht="12.75" customHeight="1" x14ac:dyDescent="0.3"/>
    <row r="97" ht="23.25" customHeight="1" x14ac:dyDescent="0.3"/>
    <row r="100" ht="12.75" customHeight="1" x14ac:dyDescent="0.3"/>
    <row r="101" ht="23.25" customHeight="1" x14ac:dyDescent="0.3"/>
    <row r="102" ht="12.75" customHeight="1" x14ac:dyDescent="0.3"/>
    <row r="103" ht="23.25" customHeight="1" x14ac:dyDescent="0.3"/>
    <row r="106" ht="12.75" customHeight="1" x14ac:dyDescent="0.3"/>
    <row r="107" ht="23.25" customHeight="1" x14ac:dyDescent="0.3"/>
    <row r="110" ht="12.75" customHeight="1" x14ac:dyDescent="0.3"/>
    <row r="111" ht="23.25" customHeight="1" x14ac:dyDescent="0.3"/>
    <row r="112" ht="12.75" customHeight="1" x14ac:dyDescent="0.3"/>
    <row r="113" ht="23.25" customHeight="1" x14ac:dyDescent="0.3"/>
    <row r="114" ht="23.25" customHeight="1" x14ac:dyDescent="0.3"/>
  </sheetData>
  <sheetProtection sheet="1" objects="1" scenarios="1" selectLockedCells="1" selectUnlockedCells="1"/>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R59"/>
  <sheetViews>
    <sheetView showGridLines="0" topLeftCell="D35" zoomScaleNormal="100" workbookViewId="0">
      <selection activeCell="D55" sqref="D55:R59"/>
    </sheetView>
  </sheetViews>
  <sheetFormatPr defaultColWidth="8.6640625" defaultRowHeight="14.4" x14ac:dyDescent="0.3"/>
  <cols>
    <col min="2" max="2" width="3" customWidth="1"/>
    <col min="3" max="3" width="118" customWidth="1"/>
  </cols>
  <sheetData>
    <row r="2" spans="2:3" ht="18" x14ac:dyDescent="0.35">
      <c r="B2" s="58" t="s">
        <v>525</v>
      </c>
    </row>
    <row r="3" spans="2:3" x14ac:dyDescent="0.3">
      <c r="B3" s="59" t="s">
        <v>43</v>
      </c>
    </row>
    <row r="5" spans="2:3" x14ac:dyDescent="0.3">
      <c r="C5" s="30" t="s">
        <v>526</v>
      </c>
    </row>
    <row r="7" spans="2:3" ht="30" customHeight="1" x14ac:dyDescent="0.3">
      <c r="C7" s="92" t="s">
        <v>527</v>
      </c>
    </row>
    <row r="8" spans="2:3" x14ac:dyDescent="0.3">
      <c r="C8" s="30" t="s">
        <v>528</v>
      </c>
    </row>
    <row r="10" spans="2:3" ht="30" customHeight="1" x14ac:dyDescent="0.3">
      <c r="C10" s="92" t="s">
        <v>529</v>
      </c>
    </row>
    <row r="11" spans="2:3" x14ac:dyDescent="0.3">
      <c r="C11" s="30" t="s">
        <v>530</v>
      </c>
    </row>
    <row r="13" spans="2:3" ht="15" customHeight="1" x14ac:dyDescent="0.3">
      <c r="C13" s="92" t="s">
        <v>531</v>
      </c>
    </row>
    <row r="14" spans="2:3" ht="30" customHeight="1" x14ac:dyDescent="0.3">
      <c r="C14" s="92" t="s">
        <v>532</v>
      </c>
    </row>
    <row r="15" spans="2:3" ht="30" customHeight="1" x14ac:dyDescent="0.3">
      <c r="C15" s="92" t="s">
        <v>533</v>
      </c>
    </row>
    <row r="16" spans="2:3" ht="30" customHeight="1" x14ac:dyDescent="0.3">
      <c r="C16" s="92" t="s">
        <v>534</v>
      </c>
    </row>
    <row r="17" spans="3:3" x14ac:dyDescent="0.3">
      <c r="C17" s="30" t="s">
        <v>535</v>
      </c>
    </row>
    <row r="19" spans="3:3" ht="30" customHeight="1" x14ac:dyDescent="0.3">
      <c r="C19" s="92" t="s">
        <v>536</v>
      </c>
    </row>
    <row r="20" spans="3:3" x14ac:dyDescent="0.3">
      <c r="C20" s="30" t="s">
        <v>537</v>
      </c>
    </row>
    <row r="22" spans="3:3" ht="30" customHeight="1" x14ac:dyDescent="0.3">
      <c r="C22" s="92" t="s">
        <v>538</v>
      </c>
    </row>
    <row r="23" spans="3:3" ht="15" customHeight="1" x14ac:dyDescent="0.3">
      <c r="C23" s="92" t="s">
        <v>539</v>
      </c>
    </row>
    <row r="24" spans="3:3" ht="45" customHeight="1" x14ac:dyDescent="0.3">
      <c r="C24" s="92" t="s">
        <v>540</v>
      </c>
    </row>
    <row r="25" spans="3:3" ht="15" customHeight="1" x14ac:dyDescent="0.3">
      <c r="C25" s="92" t="s">
        <v>541</v>
      </c>
    </row>
    <row r="26" spans="3:3" ht="30" customHeight="1" x14ac:dyDescent="0.3">
      <c r="C26" s="92" t="s">
        <v>542</v>
      </c>
    </row>
    <row r="27" spans="3:3" x14ac:dyDescent="0.3">
      <c r="C27" s="30" t="s">
        <v>543</v>
      </c>
    </row>
    <row r="29" spans="3:3" ht="45" customHeight="1" x14ac:dyDescent="0.3">
      <c r="C29" s="92" t="s">
        <v>544</v>
      </c>
    </row>
    <row r="30" spans="3:3" x14ac:dyDescent="0.3">
      <c r="C30" s="30" t="s">
        <v>545</v>
      </c>
    </row>
    <row r="32" spans="3:3" ht="15" customHeight="1" x14ac:dyDescent="0.3">
      <c r="C32" s="92" t="s">
        <v>546</v>
      </c>
    </row>
    <row r="38" spans="4:18" ht="18" x14ac:dyDescent="0.35">
      <c r="D38" s="10" t="s">
        <v>6</v>
      </c>
      <c r="E38" s="3"/>
      <c r="F38" s="3"/>
      <c r="G38" s="3"/>
      <c r="H38" s="3"/>
      <c r="I38" s="3"/>
      <c r="J38" s="3"/>
      <c r="K38" s="3"/>
      <c r="L38" s="3"/>
      <c r="M38" s="3"/>
      <c r="N38" s="3"/>
      <c r="O38" s="3"/>
      <c r="P38" s="3"/>
      <c r="Q38" s="3"/>
      <c r="R38" s="3"/>
    </row>
    <row r="39" spans="4:18" x14ac:dyDescent="0.3">
      <c r="D39" s="11" t="s">
        <v>7</v>
      </c>
      <c r="E39" s="3"/>
      <c r="F39" s="3"/>
      <c r="G39" s="3"/>
      <c r="H39" s="3"/>
      <c r="I39" s="3"/>
      <c r="J39" s="3"/>
      <c r="K39" s="3"/>
      <c r="L39" s="3"/>
      <c r="M39" s="3"/>
      <c r="N39" s="3"/>
      <c r="O39" s="3"/>
      <c r="P39" s="3"/>
      <c r="Q39" s="3"/>
      <c r="R39" s="3"/>
    </row>
    <row r="40" spans="4:18" x14ac:dyDescent="0.3">
      <c r="D40" s="3"/>
      <c r="E40" s="3"/>
      <c r="F40" s="3"/>
      <c r="G40" s="3"/>
      <c r="H40" s="3"/>
      <c r="I40" s="3"/>
      <c r="J40" s="3"/>
      <c r="K40" s="3"/>
      <c r="L40" s="3"/>
      <c r="M40" s="3"/>
      <c r="N40" s="3"/>
      <c r="O40" s="3"/>
      <c r="P40" s="3"/>
      <c r="Q40" s="3"/>
      <c r="R40" s="3"/>
    </row>
    <row r="41" spans="4:18" x14ac:dyDescent="0.3">
      <c r="D41" s="12" t="s">
        <v>8</v>
      </c>
      <c r="E41" s="3"/>
      <c r="F41" s="3"/>
      <c r="G41" s="3"/>
      <c r="H41" s="3"/>
      <c r="I41" s="3"/>
      <c r="J41" s="3"/>
      <c r="K41" s="3"/>
      <c r="L41" s="3"/>
      <c r="M41" s="3"/>
      <c r="N41" s="3"/>
      <c r="O41" s="3"/>
      <c r="P41" s="3"/>
      <c r="Q41" s="3"/>
      <c r="R41" s="3"/>
    </row>
    <row r="42" spans="4:18" x14ac:dyDescent="0.3">
      <c r="D42" s="96" t="s">
        <v>9</v>
      </c>
      <c r="E42" s="96"/>
      <c r="F42" s="96"/>
      <c r="G42" s="96" t="s">
        <v>10</v>
      </c>
      <c r="H42" s="96"/>
      <c r="I42" s="96"/>
      <c r="J42" s="96" t="s">
        <v>11</v>
      </c>
      <c r="K42" s="96"/>
      <c r="L42" s="96"/>
      <c r="M42" s="96" t="s">
        <v>12</v>
      </c>
      <c r="N42" s="96"/>
      <c r="O42" s="96"/>
      <c r="P42" s="96" t="s">
        <v>13</v>
      </c>
      <c r="Q42" s="96"/>
      <c r="R42" s="96"/>
    </row>
    <row r="43" spans="4:18" ht="23.4" x14ac:dyDescent="0.45">
      <c r="D43" s="93">
        <f>COUNTA('SETUP &amp; TARGETS'!$B$40:$B$43)</f>
        <v>4</v>
      </c>
      <c r="E43" s="93"/>
      <c r="F43" s="93"/>
      <c r="G43" s="93">
        <f>COUNTIF('MECHANIC PERFORMANCE'!E7:E10,"&gt;0")</f>
        <v>0</v>
      </c>
      <c r="H43" s="93"/>
      <c r="I43" s="93"/>
      <c r="J43" s="94">
        <f>'MECHANIC PERFORMANCE'!E11</f>
        <v>0</v>
      </c>
      <c r="K43" s="94"/>
      <c r="L43" s="94"/>
      <c r="M43" s="94">
        <f>'MECHANIC PERFORMANCE'!G11</f>
        <v>264</v>
      </c>
      <c r="N43" s="94"/>
      <c r="O43" s="94"/>
      <c r="P43" s="95">
        <f>'MECHANIC PERFORMANCE'!H11</f>
        <v>0</v>
      </c>
      <c r="Q43" s="95"/>
      <c r="R43" s="95"/>
    </row>
    <row r="44" spans="4:18" x14ac:dyDescent="0.3">
      <c r="D44" s="3"/>
      <c r="E44" s="3"/>
      <c r="F44" s="3"/>
      <c r="G44" s="3"/>
      <c r="H44" s="3"/>
      <c r="I44" s="3"/>
      <c r="J44" s="3"/>
      <c r="K44" s="3"/>
      <c r="L44" s="3"/>
      <c r="M44" s="3"/>
      <c r="N44" s="3"/>
      <c r="O44" s="3"/>
      <c r="P44" s="3"/>
      <c r="Q44" s="3"/>
      <c r="R44" s="3"/>
    </row>
    <row r="45" spans="4:18" x14ac:dyDescent="0.3">
      <c r="D45" s="12" t="s">
        <v>14</v>
      </c>
      <c r="E45" s="3"/>
      <c r="F45" s="3"/>
      <c r="G45" s="3"/>
      <c r="H45" s="3"/>
      <c r="I45" s="3"/>
      <c r="J45" s="3"/>
      <c r="K45" s="3"/>
      <c r="L45" s="3"/>
      <c r="M45" s="3"/>
      <c r="N45" s="3"/>
      <c r="O45" s="3"/>
      <c r="P45" s="3"/>
      <c r="Q45" s="3"/>
      <c r="R45" s="3"/>
    </row>
    <row r="46" spans="4:18" x14ac:dyDescent="0.3">
      <c r="D46" s="96" t="s">
        <v>15</v>
      </c>
      <c r="E46" s="96"/>
      <c r="F46" s="96"/>
      <c r="G46" s="96" t="s">
        <v>16</v>
      </c>
      <c r="H46" s="96"/>
      <c r="I46" s="96"/>
      <c r="J46" s="96" t="s">
        <v>17</v>
      </c>
      <c r="K46" s="96"/>
      <c r="L46" s="96"/>
      <c r="M46" s="96" t="s">
        <v>18</v>
      </c>
      <c r="N46" s="96"/>
      <c r="O46" s="96"/>
      <c r="P46" s="96" t="s">
        <v>19</v>
      </c>
      <c r="Q46" s="96"/>
      <c r="R46" s="96"/>
    </row>
    <row r="47" spans="4:18" ht="23.4" x14ac:dyDescent="0.45">
      <c r="D47" s="93">
        <f>'EQUIPMENT REGISTER'!C24</f>
        <v>0</v>
      </c>
      <c r="E47" s="93"/>
      <c r="F47" s="93"/>
      <c r="G47" s="93">
        <f>'EQUIPMENT REGISTER'!C25</f>
        <v>0</v>
      </c>
      <c r="H47" s="93"/>
      <c r="I47" s="93"/>
      <c r="J47" s="93">
        <f>'EQUIPMENT REGISTER'!C26</f>
        <v>0</v>
      </c>
      <c r="K47" s="93"/>
      <c r="L47" s="93"/>
      <c r="M47" s="93">
        <f>'EQUIPMENT REGISTER'!C27</f>
        <v>0</v>
      </c>
      <c r="N47" s="93"/>
      <c r="O47" s="93"/>
      <c r="P47" s="93">
        <f>'EQUIPMENT REGISTER'!C28</f>
        <v>0</v>
      </c>
      <c r="Q47" s="93"/>
      <c r="R47" s="93"/>
    </row>
    <row r="48" spans="4:18" x14ac:dyDescent="0.3">
      <c r="D48" s="96" t="s">
        <v>20</v>
      </c>
      <c r="E48" s="96"/>
      <c r="F48" s="96"/>
      <c r="G48" s="96" t="s">
        <v>21</v>
      </c>
      <c r="H48" s="96"/>
      <c r="I48" s="96"/>
      <c r="J48" s="96" t="s">
        <v>22</v>
      </c>
      <c r="K48" s="96"/>
      <c r="L48" s="96"/>
      <c r="M48" s="96" t="s">
        <v>23</v>
      </c>
      <c r="N48" s="96"/>
      <c r="O48" s="96"/>
      <c r="P48" s="96" t="s">
        <v>24</v>
      </c>
      <c r="Q48" s="96"/>
      <c r="R48" s="96"/>
    </row>
    <row r="49" spans="4:18" ht="23.4" x14ac:dyDescent="0.45">
      <c r="D49" s="95">
        <f>'FLEET SUMMARY'!J12</f>
        <v>0.62740740740740741</v>
      </c>
      <c r="E49" s="95"/>
      <c r="F49" s="95"/>
      <c r="G49" s="95">
        <f>'FLEET SUMMARY'!H12</f>
        <v>0.22616487455197132</v>
      </c>
      <c r="H49" s="95"/>
      <c r="I49" s="95"/>
      <c r="J49" s="95">
        <f>AVAILABILITY!J22</f>
        <v>0</v>
      </c>
      <c r="K49" s="95"/>
      <c r="L49" s="95"/>
      <c r="M49" s="95">
        <f>AVAILABILITY!M22</f>
        <v>0</v>
      </c>
      <c r="N49" s="95"/>
      <c r="O49" s="95"/>
      <c r="P49" s="93">
        <f>COUNTIF('EQUIPMENT REGISTER'!T7:T21,"&gt;0")</f>
        <v>1</v>
      </c>
      <c r="Q49" s="93"/>
      <c r="R49" s="93"/>
    </row>
    <row r="50" spans="4:18" x14ac:dyDescent="0.3">
      <c r="D50" s="3"/>
      <c r="E50" s="3"/>
      <c r="F50" s="3"/>
      <c r="G50" s="3"/>
      <c r="H50" s="3"/>
      <c r="I50" s="3"/>
      <c r="J50" s="3"/>
      <c r="K50" s="3"/>
      <c r="L50" s="3"/>
      <c r="M50" s="3"/>
      <c r="N50" s="3"/>
      <c r="O50" s="3"/>
      <c r="P50" s="3"/>
      <c r="Q50" s="3"/>
      <c r="R50" s="3"/>
    </row>
    <row r="51" spans="4:18" x14ac:dyDescent="0.3">
      <c r="D51" s="12" t="s">
        <v>25</v>
      </c>
      <c r="E51" s="3"/>
      <c r="F51" s="3"/>
      <c r="G51" s="3"/>
      <c r="H51" s="3"/>
      <c r="I51" s="3"/>
      <c r="J51" s="3"/>
      <c r="K51" s="3"/>
      <c r="L51" s="3"/>
      <c r="M51" s="3"/>
      <c r="N51" s="3"/>
      <c r="O51" s="3"/>
      <c r="P51" s="3"/>
      <c r="Q51" s="3"/>
      <c r="R51" s="3"/>
    </row>
    <row r="52" spans="4:18" x14ac:dyDescent="0.3">
      <c r="D52" s="96" t="s">
        <v>26</v>
      </c>
      <c r="E52" s="96"/>
      <c r="F52" s="96"/>
      <c r="G52" s="96" t="s">
        <v>27</v>
      </c>
      <c r="H52" s="96"/>
      <c r="I52" s="96"/>
      <c r="J52" s="96" t="s">
        <v>28</v>
      </c>
      <c r="K52" s="96"/>
      <c r="L52" s="96"/>
      <c r="M52" s="96" t="s">
        <v>29</v>
      </c>
      <c r="N52" s="96"/>
      <c r="O52" s="96"/>
      <c r="P52" s="96" t="s">
        <v>30</v>
      </c>
      <c r="Q52" s="96"/>
      <c r="R52" s="96"/>
    </row>
    <row r="53" spans="4:18" ht="23.4" x14ac:dyDescent="0.45">
      <c r="D53" s="93">
        <f>'MECHANIC PERFORMANCE'!C63</f>
        <v>1</v>
      </c>
      <c r="E53" s="93"/>
      <c r="F53" s="93"/>
      <c r="G53" s="93">
        <f>'MECHANIC PERFORMANCE'!C64</f>
        <v>0</v>
      </c>
      <c r="H53" s="93"/>
      <c r="I53" s="93"/>
      <c r="J53" s="93">
        <f>'MECHANIC PERFORMANCE'!C65</f>
        <v>0</v>
      </c>
      <c r="K53" s="93"/>
      <c r="L53" s="93"/>
      <c r="M53" s="93">
        <f>'EQUIPMENT REGISTER'!C29</f>
        <v>0</v>
      </c>
      <c r="N53" s="93"/>
      <c r="O53" s="93"/>
      <c r="P53" s="93">
        <f>'EQUIPMENT REGISTER'!C31</f>
        <v>0</v>
      </c>
      <c r="Q53" s="93"/>
      <c r="R53" s="93"/>
    </row>
    <row r="54" spans="4:18" x14ac:dyDescent="0.3">
      <c r="D54" s="3"/>
      <c r="E54" s="3"/>
      <c r="F54" s="3"/>
      <c r="G54" s="3"/>
      <c r="H54" s="3"/>
      <c r="I54" s="3"/>
      <c r="J54" s="3"/>
      <c r="K54" s="3"/>
      <c r="L54" s="3"/>
      <c r="M54" s="3"/>
      <c r="N54" s="3"/>
      <c r="O54" s="3"/>
      <c r="P54" s="3"/>
      <c r="Q54" s="3"/>
      <c r="R54" s="3"/>
    </row>
    <row r="55" spans="4:18" x14ac:dyDescent="0.3">
      <c r="D55" s="12" t="s">
        <v>31</v>
      </c>
      <c r="E55" s="3"/>
      <c r="F55" s="3"/>
      <c r="G55" s="3"/>
      <c r="H55" s="3"/>
      <c r="I55" s="3"/>
      <c r="J55" s="3"/>
      <c r="K55" s="3"/>
      <c r="L55" s="3"/>
      <c r="M55" s="3"/>
      <c r="N55" s="3"/>
      <c r="O55" s="3"/>
      <c r="P55" s="3"/>
      <c r="Q55" s="3"/>
      <c r="R55" s="3"/>
    </row>
    <row r="56" spans="4:18" x14ac:dyDescent="0.3">
      <c r="D56" s="96" t="s">
        <v>32</v>
      </c>
      <c r="E56" s="96"/>
      <c r="F56" s="96"/>
      <c r="G56" s="96" t="s">
        <v>33</v>
      </c>
      <c r="H56" s="96"/>
      <c r="I56" s="96"/>
      <c r="J56" s="96" t="s">
        <v>34</v>
      </c>
      <c r="K56" s="96"/>
      <c r="L56" s="96"/>
      <c r="M56" s="96" t="s">
        <v>35</v>
      </c>
      <c r="N56" s="96"/>
      <c r="O56" s="96"/>
      <c r="P56" s="96" t="s">
        <v>36</v>
      </c>
      <c r="Q56" s="96"/>
      <c r="R56" s="96"/>
    </row>
    <row r="57" spans="4:18" ht="23.4" x14ac:dyDescent="0.45">
      <c r="D57" s="94">
        <f>'MECHANIC PERFORMANCE'!C69</f>
        <v>0</v>
      </c>
      <c r="E57" s="94"/>
      <c r="F57" s="94"/>
      <c r="G57" s="94">
        <f>'MECHANIC PERFORMANCE'!C66</f>
        <v>6</v>
      </c>
      <c r="H57" s="94"/>
      <c r="I57" s="94"/>
      <c r="J57" s="94">
        <f>'MECHANIC PERFORMANCE'!C67</f>
        <v>132</v>
      </c>
      <c r="K57" s="94"/>
      <c r="L57" s="94"/>
      <c r="M57" s="94">
        <f>'MECHANIC PERFORMANCE'!C68</f>
        <v>0</v>
      </c>
      <c r="N57" s="94"/>
      <c r="O57" s="94"/>
      <c r="P57" s="95">
        <f ca="1">'MECHANIC PERFORMANCE'!C72</f>
        <v>1</v>
      </c>
      <c r="Q57" s="95"/>
      <c r="R57" s="95"/>
    </row>
    <row r="58" spans="4:18" x14ac:dyDescent="0.3">
      <c r="D58" s="97" t="s">
        <v>37</v>
      </c>
      <c r="E58" s="97"/>
      <c r="F58" s="97"/>
      <c r="G58" s="97" t="s">
        <v>38</v>
      </c>
      <c r="H58" s="97"/>
      <c r="I58" s="97"/>
      <c r="J58" s="97" t="s">
        <v>39</v>
      </c>
      <c r="K58" s="97"/>
      <c r="L58" s="97"/>
      <c r="M58" s="97" t="s">
        <v>40</v>
      </c>
      <c r="N58" s="97"/>
      <c r="O58" s="97"/>
      <c r="P58" s="98" t="s">
        <v>41</v>
      </c>
      <c r="Q58" s="98"/>
      <c r="R58" s="98"/>
    </row>
    <row r="59" spans="4:18" ht="23.4" x14ac:dyDescent="0.45">
      <c r="D59" s="93">
        <f ca="1">'MECHANIC PERFORMANCE'!C70</f>
        <v>1</v>
      </c>
      <c r="E59" s="93"/>
      <c r="F59" s="93"/>
      <c r="G59" s="93">
        <f ca="1">'MECHANIC PERFORMANCE'!C71</f>
        <v>0</v>
      </c>
      <c r="H59" s="93"/>
      <c r="I59" s="93"/>
      <c r="J59" s="93">
        <f>'MECHANIC PERFORMANCE'!C73</f>
        <v>0</v>
      </c>
      <c r="K59" s="93"/>
      <c r="L59" s="93"/>
      <c r="M59" s="93">
        <f>'MECHANIC PERFORMANCE'!C74</f>
        <v>0</v>
      </c>
      <c r="N59" s="93"/>
      <c r="O59" s="93"/>
      <c r="P59" s="93">
        <f ca="1">COUNTIF('EQUIPMENT REGISTER'!V7:V21,"RED")</f>
        <v>3</v>
      </c>
      <c r="Q59" s="93"/>
      <c r="R59" s="93"/>
    </row>
  </sheetData>
  <mergeCells count="60">
    <mergeCell ref="D58:F58"/>
    <mergeCell ref="G58:I58"/>
    <mergeCell ref="J58:L58"/>
    <mergeCell ref="M58:O58"/>
    <mergeCell ref="P58:R58"/>
    <mergeCell ref="D59:F59"/>
    <mergeCell ref="G59:I59"/>
    <mergeCell ref="J59:L59"/>
    <mergeCell ref="M59:O59"/>
    <mergeCell ref="P59:R59"/>
    <mergeCell ref="D56:F56"/>
    <mergeCell ref="G56:I56"/>
    <mergeCell ref="J56:L56"/>
    <mergeCell ref="M56:O56"/>
    <mergeCell ref="P56:R56"/>
    <mergeCell ref="D57:F57"/>
    <mergeCell ref="G57:I57"/>
    <mergeCell ref="J57:L57"/>
    <mergeCell ref="M57:O57"/>
    <mergeCell ref="P57:R57"/>
    <mergeCell ref="D52:F52"/>
    <mergeCell ref="G52:I52"/>
    <mergeCell ref="J52:L52"/>
    <mergeCell ref="M52:O52"/>
    <mergeCell ref="P52:R52"/>
    <mergeCell ref="D53:F53"/>
    <mergeCell ref="G53:I53"/>
    <mergeCell ref="J53:L53"/>
    <mergeCell ref="M53:O53"/>
    <mergeCell ref="P53:R53"/>
    <mergeCell ref="D48:F48"/>
    <mergeCell ref="G48:I48"/>
    <mergeCell ref="J48:L48"/>
    <mergeCell ref="M48:O48"/>
    <mergeCell ref="P48:R48"/>
    <mergeCell ref="D49:F49"/>
    <mergeCell ref="G49:I49"/>
    <mergeCell ref="J49:L49"/>
    <mergeCell ref="M49:O49"/>
    <mergeCell ref="P49:R49"/>
    <mergeCell ref="D46:F46"/>
    <mergeCell ref="G46:I46"/>
    <mergeCell ref="J46:L46"/>
    <mergeCell ref="M46:O46"/>
    <mergeCell ref="P46:R46"/>
    <mergeCell ref="D47:F47"/>
    <mergeCell ref="G47:I47"/>
    <mergeCell ref="J47:L47"/>
    <mergeCell ref="M47:O47"/>
    <mergeCell ref="P47:R47"/>
    <mergeCell ref="D42:F42"/>
    <mergeCell ref="G42:I42"/>
    <mergeCell ref="J42:L42"/>
    <mergeCell ref="M42:O42"/>
    <mergeCell ref="P42:R42"/>
    <mergeCell ref="D43:F43"/>
    <mergeCell ref="G43:I43"/>
    <mergeCell ref="J43:L43"/>
    <mergeCell ref="M43:O43"/>
    <mergeCell ref="P43:R4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54"/>
  <sheetViews>
    <sheetView showGridLines="0" topLeftCell="A20" zoomScaleNormal="100" workbookViewId="0">
      <selection activeCell="D9" sqref="D9"/>
    </sheetView>
  </sheetViews>
  <sheetFormatPr defaultColWidth="8.6640625" defaultRowHeight="14.4" x14ac:dyDescent="0.3"/>
  <cols>
    <col min="1" max="1" width="3.77734375" customWidth="1"/>
    <col min="2" max="2" width="57.109375" customWidth="1"/>
    <col min="3" max="3" width="15.44140625" customWidth="1"/>
    <col min="4" max="4" width="20" customWidth="1"/>
    <col min="5" max="6" width="12" customWidth="1"/>
    <col min="7" max="7" width="11" customWidth="1"/>
    <col min="8" max="8" width="13" customWidth="1"/>
    <col min="9" max="12" width="12" customWidth="1"/>
    <col min="13" max="13" width="22.33203125" customWidth="1"/>
  </cols>
  <sheetData>
    <row r="2" spans="2:13" ht="18" customHeight="1" x14ac:dyDescent="0.35">
      <c r="B2" s="13" t="s">
        <v>42</v>
      </c>
    </row>
    <row r="3" spans="2:13" ht="14.25" customHeight="1" x14ac:dyDescent="0.3">
      <c r="B3" s="14" t="s">
        <v>43</v>
      </c>
    </row>
    <row r="4" spans="2:13" ht="14.25" customHeight="1" x14ac:dyDescent="0.3">
      <c r="B4" s="15" t="s">
        <v>44</v>
      </c>
    </row>
    <row r="6" spans="2:13" ht="37.5" customHeight="1" x14ac:dyDescent="0.3">
      <c r="B6" s="16" t="s">
        <v>45</v>
      </c>
      <c r="C6" s="16" t="s">
        <v>46</v>
      </c>
      <c r="D6" s="16" t="s">
        <v>47</v>
      </c>
      <c r="E6" s="16" t="s">
        <v>48</v>
      </c>
      <c r="F6" s="16" t="s">
        <v>49</v>
      </c>
      <c r="G6" s="16" t="s">
        <v>50</v>
      </c>
      <c r="H6" s="16" t="s">
        <v>51</v>
      </c>
      <c r="I6" s="16" t="s">
        <v>52</v>
      </c>
      <c r="J6" s="16" t="s">
        <v>53</v>
      </c>
      <c r="K6" s="16" t="s">
        <v>54</v>
      </c>
      <c r="L6" s="16" t="s">
        <v>55</v>
      </c>
      <c r="M6" s="16" t="s">
        <v>56</v>
      </c>
    </row>
    <row r="7" spans="2:13" ht="14.25" customHeight="1" x14ac:dyDescent="0.3">
      <c r="B7" s="17" t="s">
        <v>57</v>
      </c>
      <c r="C7" s="18" t="s">
        <v>58</v>
      </c>
      <c r="D7" s="19">
        <f>'CRT220'!K38</f>
        <v>558</v>
      </c>
      <c r="E7" s="19">
        <f>'CRT220'!F38</f>
        <v>0</v>
      </c>
      <c r="F7" s="19">
        <f>E7-D7</f>
        <v>-558</v>
      </c>
      <c r="G7" s="20">
        <f>'SETUP &amp; TARGETS'!$C11</f>
        <v>0.8</v>
      </c>
      <c r="H7" s="21">
        <f t="shared" ref="H7:H12" si="0">IFERROR(E7/D7,0)</f>
        <v>0</v>
      </c>
      <c r="I7" s="20">
        <f>'SETUP &amp; TARGETS'!$C12</f>
        <v>0.85</v>
      </c>
      <c r="J7" s="21">
        <f>'CRT220'!O38</f>
        <v>0</v>
      </c>
      <c r="K7" s="19">
        <f>'CRT220'!H38</f>
        <v>0</v>
      </c>
      <c r="L7" s="19">
        <f>'CRT220'!I38</f>
        <v>270</v>
      </c>
      <c r="M7" s="22" t="str">
        <f>IF(H7&gt;=G7,"ON TARGET",IF(H7&gt;='SETUP &amp; TARGETS'!$C13,"NEAR TARGET","BELOW TARGET"))</f>
        <v>BELOW TARGET</v>
      </c>
    </row>
    <row r="8" spans="2:13" ht="14.25" customHeight="1" x14ac:dyDescent="0.3">
      <c r="B8" s="17" t="s">
        <v>59</v>
      </c>
      <c r="C8" s="18" t="s">
        <v>58</v>
      </c>
      <c r="D8" s="19">
        <f>'CRT221'!K38</f>
        <v>558</v>
      </c>
      <c r="E8" s="19">
        <f>'CRT221'!F38</f>
        <v>164</v>
      </c>
      <c r="F8" s="19">
        <f>E8-D8</f>
        <v>-394</v>
      </c>
      <c r="G8" s="20">
        <f>'SETUP &amp; TARGETS'!$C11</f>
        <v>0.8</v>
      </c>
      <c r="H8" s="21">
        <f t="shared" si="0"/>
        <v>0.29390681003584229</v>
      </c>
      <c r="I8" s="20">
        <f>'SETUP &amp; TARGETS'!$C12</f>
        <v>0.85</v>
      </c>
      <c r="J8" s="21">
        <f>'CRT221'!O38</f>
        <v>0.71481481481481479</v>
      </c>
      <c r="K8" s="19">
        <f>'CRT221'!H38</f>
        <v>29</v>
      </c>
      <c r="L8" s="19">
        <f>'CRT221'!I38</f>
        <v>77</v>
      </c>
      <c r="M8" s="22" t="str">
        <f>IF(H8&gt;=G8,"ON TARGET",IF(H8&gt;='SETUP &amp; TARGETS'!$C13,"NEAR TARGET","BELOW TARGET"))</f>
        <v>BELOW TARGET</v>
      </c>
    </row>
    <row r="9" spans="2:13" ht="14.25" customHeight="1" x14ac:dyDescent="0.3">
      <c r="B9" s="17" t="s">
        <v>60</v>
      </c>
      <c r="C9" s="18" t="s">
        <v>58</v>
      </c>
      <c r="D9" s="19">
        <f>'CRT222'!K38</f>
        <v>558</v>
      </c>
      <c r="E9" s="19">
        <f>'CRT222'!F38</f>
        <v>113</v>
      </c>
      <c r="F9" s="19">
        <f>E9-D9</f>
        <v>-445</v>
      </c>
      <c r="G9" s="20">
        <f>'SETUP &amp; TARGETS'!$C11</f>
        <v>0.8</v>
      </c>
      <c r="H9" s="21">
        <f t="shared" si="0"/>
        <v>0.2025089605734767</v>
      </c>
      <c r="I9" s="20">
        <f>'SETUP &amp; TARGETS'!$C12</f>
        <v>0.85</v>
      </c>
      <c r="J9" s="21">
        <f>'CRT222'!O38</f>
        <v>0.46296296296296297</v>
      </c>
      <c r="K9" s="19">
        <f>'CRT222'!H38</f>
        <v>13</v>
      </c>
      <c r="L9" s="19">
        <f>'CRT222'!I38</f>
        <v>145</v>
      </c>
      <c r="M9" s="22" t="str">
        <f>IF(H9&gt;=G9,"ON TARGET",IF(H9&gt;='SETUP &amp; TARGETS'!$C13,"NEAR TARGET","BELOW TARGET"))</f>
        <v>BELOW TARGET</v>
      </c>
    </row>
    <row r="10" spans="2:13" ht="14.25" customHeight="1" x14ac:dyDescent="0.3">
      <c r="B10" s="17" t="s">
        <v>61</v>
      </c>
      <c r="C10" s="18" t="s">
        <v>62</v>
      </c>
      <c r="D10" s="19">
        <f>'CRT224'!K38</f>
        <v>558</v>
      </c>
      <c r="E10" s="19">
        <f>'CRT224'!F38</f>
        <v>231</v>
      </c>
      <c r="F10" s="19">
        <f>E10-D10</f>
        <v>-327</v>
      </c>
      <c r="G10" s="20">
        <f>'SETUP &amp; TARGETS'!$C11</f>
        <v>0.8</v>
      </c>
      <c r="H10" s="21">
        <f t="shared" si="0"/>
        <v>0.41397849462365593</v>
      </c>
      <c r="I10" s="20">
        <f>'SETUP &amp; TARGETS'!$C12</f>
        <v>0.85</v>
      </c>
      <c r="J10" s="21">
        <f>'CRT224'!O38</f>
        <v>0.95925925925925926</v>
      </c>
      <c r="K10" s="19">
        <f>'CRT224'!H38</f>
        <v>35</v>
      </c>
      <c r="L10" s="19">
        <f>'CRT224'!I38</f>
        <v>11</v>
      </c>
      <c r="M10" s="22" t="str">
        <f>IF(H10&gt;=G10,"ON TARGET",IF(H10&gt;='SETUP &amp; TARGETS'!$C13,"NEAR TARGET","BELOW TARGET"))</f>
        <v>BELOW TARGET</v>
      </c>
    </row>
    <row r="11" spans="2:13" ht="14.25" customHeight="1" x14ac:dyDescent="0.3">
      <c r="B11" s="17" t="s">
        <v>63</v>
      </c>
      <c r="C11" s="18" t="s">
        <v>64</v>
      </c>
      <c r="D11" s="19">
        <f>'CRT225'!K38</f>
        <v>558</v>
      </c>
      <c r="E11" s="19">
        <f>'CRT225'!F38</f>
        <v>123</v>
      </c>
      <c r="F11" s="19">
        <f>E11-D11</f>
        <v>-435</v>
      </c>
      <c r="G11" s="20">
        <f>'SETUP &amp; TARGETS'!$C11</f>
        <v>0.8</v>
      </c>
      <c r="H11" s="21">
        <f t="shared" si="0"/>
        <v>0.22043010752688172</v>
      </c>
      <c r="I11" s="20">
        <f>'SETUP &amp; TARGETS'!$C12</f>
        <v>0.85</v>
      </c>
      <c r="J11" s="21">
        <f>'CRT225'!O38</f>
        <v>1</v>
      </c>
      <c r="K11" s="19">
        <f>'CRT225'!H38</f>
        <v>143</v>
      </c>
      <c r="L11" s="19">
        <f>'CRT225'!I38</f>
        <v>0</v>
      </c>
      <c r="M11" s="22" t="str">
        <f>IF(H11&gt;=G11,"ON TARGET",IF(H11&gt;='SETUP &amp; TARGETS'!$C13,"NEAR TARGET","BELOW TARGET"))</f>
        <v>BELOW TARGET</v>
      </c>
    </row>
    <row r="12" spans="2:13" ht="14.25" customHeight="1" x14ac:dyDescent="0.3">
      <c r="B12" s="23" t="s">
        <v>65</v>
      </c>
      <c r="C12" s="23"/>
      <c r="D12" s="24">
        <f>SUM(D7:D11)</f>
        <v>2790</v>
      </c>
      <c r="E12" s="24">
        <f>SUM(E7:E11)</f>
        <v>631</v>
      </c>
      <c r="F12" s="24">
        <f>SUM(F7:F11)</f>
        <v>-2159</v>
      </c>
      <c r="G12" s="25">
        <f>'SETUP &amp; TARGETS'!$C11</f>
        <v>0.8</v>
      </c>
      <c r="H12" s="26">
        <f t="shared" si="0"/>
        <v>0.22616487455197132</v>
      </c>
      <c r="I12" s="25">
        <f>'SETUP &amp; TARGETS'!$C12</f>
        <v>0.85</v>
      </c>
      <c r="J12" s="26">
        <f>IFERROR(AVERAGE(J7:J11),0)</f>
        <v>0.62740740740740741</v>
      </c>
      <c r="K12" s="24">
        <f>SUM(K7:K11)</f>
        <v>220</v>
      </c>
      <c r="L12" s="24">
        <f>SUM(L7:L11)</f>
        <v>503</v>
      </c>
      <c r="M12" s="23"/>
    </row>
    <row r="14" spans="2:13" ht="14.25" customHeight="1" x14ac:dyDescent="0.3">
      <c r="B14" s="14" t="s">
        <v>66</v>
      </c>
    </row>
    <row r="15" spans="2:13" ht="24" customHeight="1" x14ac:dyDescent="0.3">
      <c r="B15" s="16" t="s">
        <v>45</v>
      </c>
      <c r="C15" s="16" t="s">
        <v>67</v>
      </c>
      <c r="D15" s="16" t="s">
        <v>68</v>
      </c>
      <c r="E15" s="16" t="s">
        <v>69</v>
      </c>
      <c r="F15" s="16" t="s">
        <v>70</v>
      </c>
    </row>
    <row r="16" spans="2:13" ht="14.25" customHeight="1" x14ac:dyDescent="0.3">
      <c r="B16" s="17" t="str">
        <f>B7</f>
        <v>CRT220</v>
      </c>
      <c r="C16" s="27">
        <f>MIN(1,H7)</f>
        <v>0</v>
      </c>
      <c r="D16" s="27">
        <f>MAX(0,1-H7)</f>
        <v>1</v>
      </c>
      <c r="E16" s="27">
        <f>MIN(1,J7)</f>
        <v>0</v>
      </c>
      <c r="F16" s="27">
        <f>MAX(0,1-J7)</f>
        <v>1</v>
      </c>
    </row>
    <row r="17" spans="2:6" ht="14.25" customHeight="1" x14ac:dyDescent="0.3">
      <c r="B17" s="17" t="str">
        <f>B8</f>
        <v>CRT221</v>
      </c>
      <c r="C17" s="27">
        <f>MIN(1,H8)</f>
        <v>0.29390681003584229</v>
      </c>
      <c r="D17" s="27">
        <f>MAX(0,1-H8)</f>
        <v>0.70609318996415771</v>
      </c>
      <c r="E17" s="27">
        <f>MIN(1,J8)</f>
        <v>0.71481481481481479</v>
      </c>
      <c r="F17" s="27">
        <f>MAX(0,1-J8)</f>
        <v>0.28518518518518521</v>
      </c>
    </row>
    <row r="18" spans="2:6" ht="14.25" customHeight="1" x14ac:dyDescent="0.3">
      <c r="B18" s="17" t="str">
        <f>B9</f>
        <v>CRT222</v>
      </c>
      <c r="C18" s="27">
        <f>MIN(1,H9)</f>
        <v>0.2025089605734767</v>
      </c>
      <c r="D18" s="27">
        <f>MAX(0,1-H9)</f>
        <v>0.79749103942652333</v>
      </c>
      <c r="E18" s="27">
        <f>MIN(1,J9)</f>
        <v>0.46296296296296297</v>
      </c>
      <c r="F18" s="27">
        <f>MAX(0,1-J9)</f>
        <v>0.53703703703703698</v>
      </c>
    </row>
    <row r="19" spans="2:6" ht="14.25" customHeight="1" x14ac:dyDescent="0.3">
      <c r="B19" s="17" t="str">
        <f>B10</f>
        <v>CRT224</v>
      </c>
      <c r="C19" s="27">
        <f>MIN(1,H10)</f>
        <v>0.41397849462365593</v>
      </c>
      <c r="D19" s="27">
        <f>MAX(0,1-H10)</f>
        <v>0.58602150537634401</v>
      </c>
      <c r="E19" s="27">
        <f>MIN(1,J10)</f>
        <v>0.95925925925925926</v>
      </c>
      <c r="F19" s="27">
        <f>MAX(0,1-J10)</f>
        <v>4.0740740740740744E-2</v>
      </c>
    </row>
    <row r="20" spans="2:6" ht="14.25" customHeight="1" x14ac:dyDescent="0.3">
      <c r="B20" s="17" t="str">
        <f>B11</f>
        <v>CRT225</v>
      </c>
      <c r="C20" s="27">
        <f>MIN(1,H11)</f>
        <v>0.22043010752688172</v>
      </c>
      <c r="D20" s="27">
        <f>MAX(0,1-H11)</f>
        <v>0.77956989247311825</v>
      </c>
      <c r="E20" s="27">
        <f>MIN(1,J11)</f>
        <v>1</v>
      </c>
      <c r="F20" s="27">
        <f>MAX(0,1-J11)</f>
        <v>0</v>
      </c>
    </row>
    <row r="22" spans="2:6" ht="14.25" customHeight="1" x14ac:dyDescent="0.3">
      <c r="B22" s="14" t="s">
        <v>71</v>
      </c>
    </row>
    <row r="23" spans="2:6" ht="21.75" customHeight="1" x14ac:dyDescent="0.3">
      <c r="B23" s="16" t="s">
        <v>72</v>
      </c>
      <c r="C23" s="16" t="s">
        <v>73</v>
      </c>
      <c r="D23" s="16" t="s">
        <v>74</v>
      </c>
    </row>
    <row r="24" spans="2:6" ht="14.25" customHeight="1" x14ac:dyDescent="0.3">
      <c r="B24" s="28">
        <v>1</v>
      </c>
      <c r="C24" s="29">
        <f>'CRT220'!K7+'CRT221'!K7+'CRT222'!K7+'CRT224'!K7+'CRT225'!K7</f>
        <v>90</v>
      </c>
      <c r="D24" s="29">
        <f>'CRT220'!L7+'CRT221'!L7+'CRT222'!L7+'CRT224'!L7+'CRT225'!L7</f>
        <v>35</v>
      </c>
    </row>
    <row r="25" spans="2:6" ht="14.25" customHeight="1" x14ac:dyDescent="0.3">
      <c r="B25" s="28">
        <v>2</v>
      </c>
      <c r="C25" s="29">
        <f>'CRT220'!K8+'CRT221'!K8+'CRT222'!K8+'CRT224'!K8+'CRT225'!K8</f>
        <v>180</v>
      </c>
      <c r="D25" s="29">
        <f>'CRT220'!L8+'CRT221'!L8+'CRT222'!L8+'CRT224'!L8+'CRT225'!L8</f>
        <v>70</v>
      </c>
    </row>
    <row r="26" spans="2:6" ht="14.25" customHeight="1" x14ac:dyDescent="0.3">
      <c r="B26" s="28">
        <v>3</v>
      </c>
      <c r="C26" s="29">
        <f>'CRT220'!K9+'CRT221'!K9+'CRT222'!K9+'CRT224'!K9+'CRT225'!K9</f>
        <v>270</v>
      </c>
      <c r="D26" s="29">
        <f>'CRT220'!L9+'CRT221'!L9+'CRT222'!L9+'CRT224'!L9+'CRT225'!L9</f>
        <v>103</v>
      </c>
    </row>
    <row r="27" spans="2:6" ht="14.25" customHeight="1" x14ac:dyDescent="0.3">
      <c r="B27" s="28">
        <v>4</v>
      </c>
      <c r="C27" s="29">
        <f>'CRT220'!K10+'CRT221'!K10+'CRT222'!K10+'CRT224'!K10+'CRT225'!K10</f>
        <v>360</v>
      </c>
      <c r="D27" s="29">
        <f>'CRT220'!L10+'CRT221'!L10+'CRT222'!L10+'CRT224'!L10+'CRT225'!L10</f>
        <v>129</v>
      </c>
    </row>
    <row r="28" spans="2:6" ht="14.25" customHeight="1" x14ac:dyDescent="0.3">
      <c r="B28" s="28">
        <v>5</v>
      </c>
      <c r="C28" s="29">
        <f>'CRT220'!K11+'CRT221'!K11+'CRT222'!K11+'CRT224'!K11+'CRT225'!K11</f>
        <v>450</v>
      </c>
      <c r="D28" s="29">
        <f>'CRT220'!L11+'CRT221'!L11+'CRT222'!L11+'CRT224'!L11+'CRT225'!L11</f>
        <v>185</v>
      </c>
    </row>
    <row r="29" spans="2:6" ht="14.25" customHeight="1" x14ac:dyDescent="0.3">
      <c r="B29" s="28">
        <v>6</v>
      </c>
      <c r="C29" s="29">
        <f>'CRT220'!K12+'CRT221'!K12+'CRT222'!K12+'CRT224'!K12+'CRT225'!K12</f>
        <v>540</v>
      </c>
      <c r="D29" s="29">
        <f>'CRT220'!L12+'CRT221'!L12+'CRT222'!L12+'CRT224'!L12+'CRT225'!L12</f>
        <v>214</v>
      </c>
    </row>
    <row r="30" spans="2:6" ht="14.25" customHeight="1" x14ac:dyDescent="0.3">
      <c r="B30" s="28">
        <v>7</v>
      </c>
      <c r="C30" s="29">
        <f>'CRT220'!K13+'CRT221'!K13+'CRT222'!K13+'CRT224'!K13+'CRT225'!K13</f>
        <v>630</v>
      </c>
      <c r="D30" s="29">
        <f>'CRT220'!L13+'CRT221'!L13+'CRT222'!L13+'CRT224'!L13+'CRT225'!L13</f>
        <v>245</v>
      </c>
    </row>
    <row r="31" spans="2:6" ht="14.25" customHeight="1" x14ac:dyDescent="0.3">
      <c r="B31" s="28">
        <v>8</v>
      </c>
      <c r="C31" s="29">
        <f>'CRT220'!K14+'CRT221'!K14+'CRT222'!K14+'CRT224'!K14+'CRT225'!K14</f>
        <v>720</v>
      </c>
      <c r="D31" s="29">
        <f>'CRT220'!L14+'CRT221'!L14+'CRT222'!L14+'CRT224'!L14+'CRT225'!L14</f>
        <v>277</v>
      </c>
    </row>
    <row r="32" spans="2:6" ht="14.25" customHeight="1" x14ac:dyDescent="0.3">
      <c r="B32" s="28">
        <v>9</v>
      </c>
      <c r="C32" s="29">
        <f>'CRT220'!K15+'CRT221'!K15+'CRT222'!K15+'CRT224'!K15+'CRT225'!K15</f>
        <v>810</v>
      </c>
      <c r="D32" s="29">
        <f>'CRT220'!L15+'CRT221'!L15+'CRT222'!L15+'CRT224'!L15+'CRT225'!L15</f>
        <v>330</v>
      </c>
    </row>
    <row r="33" spans="2:4" ht="14.25" customHeight="1" x14ac:dyDescent="0.3">
      <c r="B33" s="28">
        <v>10</v>
      </c>
      <c r="C33" s="29">
        <f>'CRT220'!K16+'CRT221'!K16+'CRT222'!K16+'CRT224'!K16+'CRT225'!K16</f>
        <v>900</v>
      </c>
      <c r="D33" s="29">
        <f>'CRT220'!L16+'CRT221'!L16+'CRT222'!L16+'CRT224'!L16+'CRT225'!L16</f>
        <v>365</v>
      </c>
    </row>
    <row r="34" spans="2:4" ht="14.25" customHeight="1" x14ac:dyDescent="0.3">
      <c r="B34" s="28">
        <v>11</v>
      </c>
      <c r="C34" s="29">
        <f>'CRT220'!K17+'CRT221'!K17+'CRT222'!K17+'CRT224'!K17+'CRT225'!K17</f>
        <v>990</v>
      </c>
      <c r="D34" s="29">
        <f>'CRT220'!L17+'CRT221'!L17+'CRT222'!L17+'CRT224'!L17+'CRT225'!L17</f>
        <v>410</v>
      </c>
    </row>
    <row r="35" spans="2:4" ht="14.25" customHeight="1" x14ac:dyDescent="0.3">
      <c r="B35" s="28">
        <v>12</v>
      </c>
      <c r="C35" s="29">
        <f>'CRT220'!K18+'CRT221'!K18+'CRT222'!K18+'CRT224'!K18+'CRT225'!K18</f>
        <v>1080</v>
      </c>
      <c r="D35" s="29">
        <f>'CRT220'!L18+'CRT221'!L18+'CRT222'!L18+'CRT224'!L18+'CRT225'!L18</f>
        <v>453</v>
      </c>
    </row>
    <row r="36" spans="2:4" ht="14.25" customHeight="1" x14ac:dyDescent="0.3">
      <c r="B36" s="28">
        <v>13</v>
      </c>
      <c r="C36" s="29">
        <f>'CRT220'!K19+'CRT221'!K19+'CRT222'!K19+'CRT224'!K19+'CRT225'!K19</f>
        <v>1170</v>
      </c>
      <c r="D36" s="29">
        <f>'CRT220'!L19+'CRT221'!L19+'CRT222'!L19+'CRT224'!L19+'CRT225'!L19</f>
        <v>523</v>
      </c>
    </row>
    <row r="37" spans="2:4" ht="14.25" customHeight="1" x14ac:dyDescent="0.3">
      <c r="B37" s="28">
        <v>14</v>
      </c>
      <c r="C37" s="29">
        <f>'CRT220'!K20+'CRT221'!K20+'CRT222'!K20+'CRT224'!K20+'CRT225'!K20</f>
        <v>1260</v>
      </c>
      <c r="D37" s="29">
        <f>'CRT220'!L20+'CRT221'!L20+'CRT222'!L20+'CRT224'!L20+'CRT225'!L20</f>
        <v>583</v>
      </c>
    </row>
    <row r="38" spans="2:4" ht="14.25" customHeight="1" x14ac:dyDescent="0.3">
      <c r="B38" s="28">
        <v>15</v>
      </c>
      <c r="C38" s="29">
        <f>'CRT220'!K21+'CRT221'!K21+'CRT222'!K21+'CRT224'!K21+'CRT225'!K21</f>
        <v>1350</v>
      </c>
      <c r="D38" s="29">
        <f>'CRT220'!L21+'CRT221'!L21+'CRT222'!L21+'CRT224'!L21+'CRT225'!L21</f>
        <v>631</v>
      </c>
    </row>
    <row r="39" spans="2:4" ht="14.25" customHeight="1" x14ac:dyDescent="0.3">
      <c r="B39" s="28">
        <v>16</v>
      </c>
      <c r="C39" s="29">
        <f>'CRT220'!K22+'CRT221'!K22+'CRT222'!K22+'CRT224'!K22+'CRT225'!K22</f>
        <v>1440</v>
      </c>
      <c r="D39" s="29">
        <f>'CRT220'!L22+'CRT221'!L22+'CRT222'!L22+'CRT224'!L22+'CRT225'!L22</f>
        <v>631</v>
      </c>
    </row>
    <row r="40" spans="2:4" ht="14.25" customHeight="1" x14ac:dyDescent="0.3">
      <c r="B40" s="28">
        <v>17</v>
      </c>
      <c r="C40" s="29">
        <f>'CRT220'!K23+'CRT221'!K23+'CRT222'!K23+'CRT224'!K23+'CRT225'!K23</f>
        <v>1530</v>
      </c>
      <c r="D40" s="29">
        <f>'CRT220'!L23+'CRT221'!L23+'CRT222'!L23+'CRT224'!L23+'CRT225'!L23</f>
        <v>631</v>
      </c>
    </row>
    <row r="41" spans="2:4" ht="14.25" customHeight="1" x14ac:dyDescent="0.3">
      <c r="B41" s="28">
        <v>18</v>
      </c>
      <c r="C41" s="29">
        <f>'CRT220'!K24+'CRT221'!K24+'CRT222'!K24+'CRT224'!K24+'CRT225'!K24</f>
        <v>1620</v>
      </c>
      <c r="D41" s="29">
        <f>'CRT220'!L24+'CRT221'!L24+'CRT222'!L24+'CRT224'!L24+'CRT225'!L24</f>
        <v>631</v>
      </c>
    </row>
    <row r="42" spans="2:4" ht="14.25" customHeight="1" x14ac:dyDescent="0.3">
      <c r="B42" s="28">
        <v>19</v>
      </c>
      <c r="C42" s="29">
        <f>'CRT220'!K25+'CRT221'!K25+'CRT222'!K25+'CRT224'!K25+'CRT225'!K25</f>
        <v>1710</v>
      </c>
      <c r="D42" s="29">
        <f>'CRT220'!L25+'CRT221'!L25+'CRT222'!L25+'CRT224'!L25+'CRT225'!L25</f>
        <v>631</v>
      </c>
    </row>
    <row r="43" spans="2:4" ht="14.25" customHeight="1" x14ac:dyDescent="0.3">
      <c r="B43" s="28">
        <v>20</v>
      </c>
      <c r="C43" s="29">
        <f>'CRT220'!K26+'CRT221'!K26+'CRT222'!K26+'CRT224'!K26+'CRT225'!K26</f>
        <v>1800</v>
      </c>
      <c r="D43" s="29">
        <f>'CRT220'!L26+'CRT221'!L26+'CRT222'!L26+'CRT224'!L26+'CRT225'!L26</f>
        <v>631</v>
      </c>
    </row>
    <row r="44" spans="2:4" ht="14.25" customHeight="1" x14ac:dyDescent="0.3">
      <c r="B44" s="28">
        <v>21</v>
      </c>
      <c r="C44" s="29">
        <f>'CRT220'!K27+'CRT221'!K27+'CRT222'!K27+'CRT224'!K27+'CRT225'!K27</f>
        <v>1890</v>
      </c>
      <c r="D44" s="29">
        <f>'CRT220'!L27+'CRT221'!L27+'CRT222'!L27+'CRT224'!L27+'CRT225'!L27</f>
        <v>631</v>
      </c>
    </row>
    <row r="45" spans="2:4" ht="14.25" customHeight="1" x14ac:dyDescent="0.3">
      <c r="B45" s="28">
        <v>22</v>
      </c>
      <c r="C45" s="29">
        <f>'CRT220'!K28+'CRT221'!K28+'CRT222'!K28+'CRT224'!K28+'CRT225'!K28</f>
        <v>1980</v>
      </c>
      <c r="D45" s="29">
        <f>'CRT220'!L28+'CRT221'!L28+'CRT222'!L28+'CRT224'!L28+'CRT225'!L28</f>
        <v>631</v>
      </c>
    </row>
    <row r="46" spans="2:4" ht="14.25" customHeight="1" x14ac:dyDescent="0.3">
      <c r="B46" s="28">
        <v>23</v>
      </c>
      <c r="C46" s="29">
        <f>'CRT220'!K29+'CRT221'!K29+'CRT222'!K29+'CRT224'!K29+'CRT225'!K29</f>
        <v>2070</v>
      </c>
      <c r="D46" s="29">
        <f>'CRT220'!L29+'CRT221'!L29+'CRT222'!L29+'CRT224'!L29+'CRT225'!L29</f>
        <v>631</v>
      </c>
    </row>
    <row r="47" spans="2:4" ht="14.25" customHeight="1" x14ac:dyDescent="0.3">
      <c r="B47" s="28">
        <v>24</v>
      </c>
      <c r="C47" s="29">
        <f>'CRT220'!K30+'CRT221'!K30+'CRT222'!K30+'CRT224'!K30+'CRT225'!K30</f>
        <v>2160</v>
      </c>
      <c r="D47" s="29">
        <f>'CRT220'!L30+'CRT221'!L30+'CRT222'!L30+'CRT224'!L30+'CRT225'!L30</f>
        <v>631</v>
      </c>
    </row>
    <row r="48" spans="2:4" ht="14.25" customHeight="1" x14ac:dyDescent="0.3">
      <c r="B48" s="28">
        <v>25</v>
      </c>
      <c r="C48" s="29">
        <f>'CRT220'!K31+'CRT221'!K31+'CRT222'!K31+'CRT224'!K31+'CRT225'!K31</f>
        <v>2250</v>
      </c>
      <c r="D48" s="29">
        <f>'CRT220'!L31+'CRT221'!L31+'CRT222'!L31+'CRT224'!L31+'CRT225'!L31</f>
        <v>631</v>
      </c>
    </row>
    <row r="49" spans="2:4" ht="14.25" customHeight="1" x14ac:dyDescent="0.3">
      <c r="B49" s="28">
        <v>26</v>
      </c>
      <c r="C49" s="29">
        <f>'CRT220'!K32+'CRT221'!K32+'CRT222'!K32+'CRT224'!K32+'CRT225'!K32</f>
        <v>2340</v>
      </c>
      <c r="D49" s="29">
        <f>'CRT220'!L32+'CRT221'!L32+'CRT222'!L32+'CRT224'!L32+'CRT225'!L32</f>
        <v>631</v>
      </c>
    </row>
    <row r="50" spans="2:4" ht="14.25" customHeight="1" x14ac:dyDescent="0.3">
      <c r="B50" s="28">
        <v>27</v>
      </c>
      <c r="C50" s="29">
        <f>'CRT220'!K33+'CRT221'!K33+'CRT222'!K33+'CRT224'!K33+'CRT225'!K33</f>
        <v>2430</v>
      </c>
      <c r="D50" s="29">
        <f>'CRT220'!L33+'CRT221'!L33+'CRT222'!L33+'CRT224'!L33+'CRT225'!L33</f>
        <v>631</v>
      </c>
    </row>
    <row r="51" spans="2:4" ht="14.25" customHeight="1" x14ac:dyDescent="0.3">
      <c r="B51" s="28">
        <v>28</v>
      </c>
      <c r="C51" s="29">
        <f>'CRT220'!K34+'CRT221'!K34+'CRT222'!K34+'CRT224'!K34+'CRT225'!K34</f>
        <v>2520</v>
      </c>
      <c r="D51" s="29">
        <f>'CRT220'!L34+'CRT221'!L34+'CRT222'!L34+'CRT224'!L34+'CRT225'!L34</f>
        <v>631</v>
      </c>
    </row>
    <row r="52" spans="2:4" ht="14.25" customHeight="1" x14ac:dyDescent="0.3">
      <c r="B52" s="28">
        <v>29</v>
      </c>
      <c r="C52" s="29">
        <f>'CRT220'!K35+'CRT221'!K35+'CRT222'!K35+'CRT224'!K35+'CRT225'!K35</f>
        <v>2610</v>
      </c>
      <c r="D52" s="29">
        <f>'CRT220'!L35+'CRT221'!L35+'CRT222'!L35+'CRT224'!L35+'CRT225'!L35</f>
        <v>631</v>
      </c>
    </row>
    <row r="53" spans="2:4" ht="14.25" customHeight="1" x14ac:dyDescent="0.3">
      <c r="B53" s="28">
        <v>30</v>
      </c>
      <c r="C53" s="29">
        <f>'CRT220'!K36+'CRT221'!K36+'CRT222'!K36+'CRT224'!K36+'CRT225'!K36</f>
        <v>2700</v>
      </c>
      <c r="D53" s="29">
        <f>'CRT220'!L36+'CRT221'!L36+'CRT222'!L36+'CRT224'!L36+'CRT225'!L36</f>
        <v>631</v>
      </c>
    </row>
    <row r="54" spans="2:4" ht="14.25" customHeight="1" x14ac:dyDescent="0.3">
      <c r="B54" s="28">
        <v>31</v>
      </c>
      <c r="C54" s="29">
        <f>'CRT220'!K37+'CRT221'!K37+'CRT222'!K37+'CRT224'!K37+'CRT225'!K37</f>
        <v>2790</v>
      </c>
      <c r="D54" s="29">
        <f>'CRT220'!L37+'CRT221'!L37+'CRT222'!L37+'CRT224'!L37+'CRT225'!L37</f>
        <v>631</v>
      </c>
    </row>
  </sheetData>
  <sheetProtection sheet="1" selectLockedCells="1" selectUnlockedCells="1"/>
  <conditionalFormatting sqref="M7:M11">
    <cfRule type="cellIs" dxfId="51" priority="2" operator="equal">
      <formula>"ON TARGET"</formula>
    </cfRule>
    <cfRule type="cellIs" dxfId="50" priority="3" operator="equal">
      <formula>"NEAR TARGET"</formula>
    </cfRule>
    <cfRule type="cellIs" dxfId="49" priority="4" operator="equal">
      <formula>"BELOW TARGET"</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T81"/>
  <sheetViews>
    <sheetView showGridLines="0" topLeftCell="A11" zoomScaleNormal="100" workbookViewId="0">
      <selection activeCell="C62" sqref="C62"/>
    </sheetView>
  </sheetViews>
  <sheetFormatPr defaultColWidth="8.6640625" defaultRowHeight="14.4" x14ac:dyDescent="0.3"/>
  <cols>
    <col min="1" max="1" width="3.77734375" customWidth="1"/>
    <col min="2" max="2" width="22" customWidth="1"/>
    <col min="3" max="3" width="26" customWidth="1"/>
    <col min="4" max="4" width="11" customWidth="1"/>
    <col min="5" max="5" width="12" customWidth="1"/>
    <col min="6" max="7" width="11" customWidth="1"/>
    <col min="8" max="9" width="10" customWidth="1"/>
    <col min="10" max="12" width="11" customWidth="1"/>
    <col min="13" max="13" width="10" customWidth="1"/>
    <col min="14" max="14" width="9" customWidth="1"/>
    <col min="15" max="15" width="8" customWidth="1"/>
    <col min="16" max="16" width="12" customWidth="1"/>
    <col min="17" max="17" width="9" customWidth="1"/>
    <col min="18" max="18" width="14" customWidth="1"/>
    <col min="19" max="19" width="10" customWidth="1"/>
    <col min="20" max="20" width="9" customWidth="1"/>
  </cols>
  <sheetData>
    <row r="2" spans="2:20" ht="18" x14ac:dyDescent="0.35">
      <c r="B2" s="58" t="s">
        <v>274</v>
      </c>
    </row>
    <row r="3" spans="2:20" x14ac:dyDescent="0.3">
      <c r="B3" s="59" t="s">
        <v>43</v>
      </c>
    </row>
    <row r="4" spans="2:20" x14ac:dyDescent="0.3">
      <c r="B4" s="31" t="s">
        <v>275</v>
      </c>
    </row>
    <row r="6" spans="2:20" ht="33.75" customHeight="1" x14ac:dyDescent="0.3">
      <c r="B6" s="2" t="s">
        <v>256</v>
      </c>
      <c r="C6" s="2" t="s">
        <v>143</v>
      </c>
      <c r="D6" s="2" t="s">
        <v>198</v>
      </c>
      <c r="E6" s="2" t="s">
        <v>199</v>
      </c>
      <c r="F6" s="2" t="s">
        <v>276</v>
      </c>
      <c r="G6" s="2" t="s">
        <v>277</v>
      </c>
      <c r="H6" s="2" t="s">
        <v>278</v>
      </c>
      <c r="I6" s="2" t="s">
        <v>279</v>
      </c>
      <c r="J6" s="2" t="s">
        <v>280</v>
      </c>
      <c r="K6" s="2" t="s">
        <v>281</v>
      </c>
      <c r="L6" s="2" t="s">
        <v>282</v>
      </c>
      <c r="M6" s="2" t="s">
        <v>264</v>
      </c>
      <c r="N6" s="2" t="s">
        <v>283</v>
      </c>
      <c r="O6" s="2" t="s">
        <v>284</v>
      </c>
      <c r="P6" s="2" t="s">
        <v>285</v>
      </c>
      <c r="Q6" s="2" t="s">
        <v>286</v>
      </c>
      <c r="R6" s="2" t="s">
        <v>287</v>
      </c>
      <c r="S6" s="2" t="s">
        <v>288</v>
      </c>
      <c r="T6" s="2" t="s">
        <v>95</v>
      </c>
    </row>
    <row r="7" spans="2:20" x14ac:dyDescent="0.3">
      <c r="B7" s="32" t="str">
        <f>'SETUP &amp; TARGETS'!$B$40</f>
        <v>Lindokuhle Ntombela</v>
      </c>
      <c r="C7" s="33" t="str">
        <f>'SETUP &amp; TARGETS'!$C$40</f>
        <v>Mechanic / Acting Team Leader</v>
      </c>
      <c r="D7" s="74">
        <f>'MECHANIC ROSTER'!D39</f>
        <v>0</v>
      </c>
      <c r="E7" s="74">
        <f>'MECHANIC ROSTER'!E39</f>
        <v>0</v>
      </c>
      <c r="F7" s="37">
        <f>IFERROR($E7/$D7,0)</f>
        <v>0</v>
      </c>
      <c r="G7" s="74">
        <f>'MECHANIC ROSTER'!F39</f>
        <v>132</v>
      </c>
      <c r="H7" s="37">
        <f>IFERROR($G7/$E7,0)</f>
        <v>0</v>
      </c>
      <c r="I7" s="75">
        <f>COUNTIF('MAINTENANCE LOG'!$J$8:$J$107,$B7)+COUNTIF('MAINTENANCE LOG'!$K$8:$K$107,$B7)</f>
        <v>1</v>
      </c>
      <c r="J7" s="75">
        <f>COUNTIFS('MAINTENANCE LOG'!$J$8:$J$107,$B7,'MAINTENANCE LOG'!$Z$8:$Z$107,"Completed")</f>
        <v>0</v>
      </c>
      <c r="K7" s="36">
        <f>SUMIFS('MAINTENANCE LOG'!$O$8:$O$107,'MAINTENANCE LOG'!$J$8:$J$107,$B7)</f>
        <v>6</v>
      </c>
      <c r="L7" s="36">
        <f>SUMIFS('MAINTENANCE LOG'!$R$8:$R$107,'MAINTENANCE LOG'!$J$8:$J$107,$B7)</f>
        <v>132</v>
      </c>
      <c r="M7" s="36">
        <f>$L7-$K7</f>
        <v>126</v>
      </c>
      <c r="N7" s="36">
        <f>IFERROR(SUMIFS('MAINTENANCE LOG'!$R$8:$R$107,'MAINTENANCE LOG'!$J$8:$J$107,$B7,'MAINTENANCE LOG'!$Z$8:$Z$107,"Completed")/COUNTIFS('MAINTENANCE LOG'!$J$8:$J$107,$B7,'MAINTENANCE LOG'!$Z$8:$Z$107,"Completed"),0)</f>
        <v>0</v>
      </c>
      <c r="O7" s="75">
        <f ca="1">COUNTIFS('MAINTENANCE LOG'!$J$8:$J$107,$B7,'MAINTENANCE LOG'!$U$8:$U$107,"MET")</f>
        <v>1</v>
      </c>
      <c r="P7" s="37">
        <f ca="1">IFERROR($O7/$J7,0)</f>
        <v>0</v>
      </c>
      <c r="Q7" s="75">
        <f ca="1">COUNTIFS('MAINTENANCE LOG'!$J$8:$J$107,$B7,'MAINTENANCE LOG'!$U$8:$U$107,"MISSED")+COUNTIFS('MAINTENANCE LOG'!$J$8:$J$107,$B7,'MAINTENANCE LOG'!$U$8:$U$107,"OVERDUE")</f>
        <v>0</v>
      </c>
      <c r="R7" s="75">
        <f>COUNTIFS('MAINTENANCE LOG'!$J$8:$J$107,$B7,'MAINTENANCE LOG'!$X$8:$X$107,"Y")</f>
        <v>0</v>
      </c>
      <c r="S7" s="75">
        <f>COUNTIFS('MAINTENANCE LOG'!$J$8:$J$107,$B7,'MAINTENANCE LOG'!$AA$8:$AA$107,"REPEAT")</f>
        <v>0</v>
      </c>
      <c r="T7" s="38" t="str">
        <f>IF($I7=0,"",IF($J7=0,IF($H7&gt;='SETUP &amp; TARGETS'!$C$29,"GREEN","AMBER"),IF(OR($P7&lt;'SETUP &amp; TARGETS'!$C$30*0.8,$Q7&gt;0),"RED",IF(AND($H7&gt;='SETUP &amp; TARGETS'!$C$29,$P7&gt;='SETUP &amp; TARGETS'!$C$30),"GREEN","AMBER"))))</f>
        <v>AMBER</v>
      </c>
    </row>
    <row r="8" spans="2:20" x14ac:dyDescent="0.3">
      <c r="B8" s="32" t="str">
        <f>'SETUP &amp; TARGETS'!$B$41</f>
        <v>Motlalepula Molefe</v>
      </c>
      <c r="C8" s="33" t="str">
        <f>'SETUP &amp; TARGETS'!$C$41</f>
        <v>Mechanic</v>
      </c>
      <c r="D8" s="74">
        <f>'MECHANIC ROSTER'!H39</f>
        <v>0</v>
      </c>
      <c r="E8" s="74">
        <f>'MECHANIC ROSTER'!I39</f>
        <v>0</v>
      </c>
      <c r="F8" s="37">
        <f>IFERROR($E8/$D8,0)</f>
        <v>0</v>
      </c>
      <c r="G8" s="74">
        <f>'MECHANIC ROSTER'!J39</f>
        <v>0</v>
      </c>
      <c r="H8" s="37">
        <f>IFERROR($G8/$E8,0)</f>
        <v>0</v>
      </c>
      <c r="I8" s="75">
        <f>COUNTIF('MAINTENANCE LOG'!$J$8:$J$107,$B8)+COUNTIF('MAINTENANCE LOG'!$K$8:$K$107,$B8)</f>
        <v>0</v>
      </c>
      <c r="J8" s="75">
        <f>COUNTIFS('MAINTENANCE LOG'!$J$8:$J$107,$B8,'MAINTENANCE LOG'!$Z$8:$Z$107,"Completed")</f>
        <v>0</v>
      </c>
      <c r="K8" s="36">
        <f>SUMIFS('MAINTENANCE LOG'!$O$8:$O$107,'MAINTENANCE LOG'!$J$8:$J$107,$B8)</f>
        <v>0</v>
      </c>
      <c r="L8" s="36">
        <f>SUMIFS('MAINTENANCE LOG'!$R$8:$R$107,'MAINTENANCE LOG'!$J$8:$J$107,$B8)</f>
        <v>0</v>
      </c>
      <c r="M8" s="36">
        <f>$L8-$K8</f>
        <v>0</v>
      </c>
      <c r="N8" s="36">
        <f>IFERROR(SUMIFS('MAINTENANCE LOG'!$R$8:$R$107,'MAINTENANCE LOG'!$J$8:$J$107,$B8,'MAINTENANCE LOG'!$Z$8:$Z$107,"Completed")/COUNTIFS('MAINTENANCE LOG'!$J$8:$J$107,$B8,'MAINTENANCE LOG'!$Z$8:$Z$107,"Completed"),0)</f>
        <v>0</v>
      </c>
      <c r="O8" s="75">
        <f>COUNTIFS('MAINTENANCE LOG'!$J$8:$J$107,$B8,'MAINTENANCE LOG'!$U$8:$U$107,"MET")</f>
        <v>0</v>
      </c>
      <c r="P8" s="37">
        <f>IFERROR($O8/$J8,0)</f>
        <v>0</v>
      </c>
      <c r="Q8" s="75">
        <f>COUNTIFS('MAINTENANCE LOG'!$J$8:$J$107,$B8,'MAINTENANCE LOG'!$U$8:$U$107,"MISSED")+COUNTIFS('MAINTENANCE LOG'!$J$8:$J$107,$B8,'MAINTENANCE LOG'!$U$8:$U$107,"OVERDUE")</f>
        <v>0</v>
      </c>
      <c r="R8" s="75">
        <f>COUNTIFS('MAINTENANCE LOG'!$J$8:$J$107,$B8,'MAINTENANCE LOG'!$X$8:$X$107,"Y")</f>
        <v>0</v>
      </c>
      <c r="S8" s="75">
        <f>COUNTIFS('MAINTENANCE LOG'!$J$8:$J$107,$B8,'MAINTENANCE LOG'!$AA$8:$AA$107,"REPEAT")</f>
        <v>0</v>
      </c>
      <c r="T8" s="38" t="str">
        <f>IF($I8=0,"",IF($J8=0,IF($H8&gt;='SETUP &amp; TARGETS'!$C$29,"GREEN","AMBER"),IF(OR($P8&lt;'SETUP &amp; TARGETS'!$C$30*0.8,$Q8&gt;0),"RED",IF(AND($H8&gt;='SETUP &amp; TARGETS'!$C$29,$P8&gt;='SETUP &amp; TARGETS'!$C$30),"GREEN","AMBER"))))</f>
        <v/>
      </c>
    </row>
    <row r="9" spans="2:20" x14ac:dyDescent="0.3">
      <c r="B9" s="32" t="str">
        <f>'SETUP &amp; TARGETS'!$B$42</f>
        <v>Thabo Monyane</v>
      </c>
      <c r="C9" s="33" t="str">
        <f>'SETUP &amp; TARGETS'!$C$42</f>
        <v>Mechanic</v>
      </c>
      <c r="D9" s="74">
        <f>'MECHANIC ROSTER'!L39</f>
        <v>0</v>
      </c>
      <c r="E9" s="74">
        <f>'MECHANIC ROSTER'!M39</f>
        <v>0</v>
      </c>
      <c r="F9" s="37">
        <f>IFERROR($E9/$D9,0)</f>
        <v>0</v>
      </c>
      <c r="G9" s="74">
        <f>'MECHANIC ROSTER'!N39</f>
        <v>132</v>
      </c>
      <c r="H9" s="37">
        <f>IFERROR($G9/$E9,0)</f>
        <v>0</v>
      </c>
      <c r="I9" s="75">
        <f>COUNTIF('MAINTENANCE LOG'!$J$8:$J$107,$B9)+COUNTIF('MAINTENANCE LOG'!$K$8:$K$107,$B9)</f>
        <v>1</v>
      </c>
      <c r="J9" s="75">
        <f>COUNTIFS('MAINTENANCE LOG'!$J$8:$J$107,$B9,'MAINTENANCE LOG'!$Z$8:$Z$107,"Completed")</f>
        <v>0</v>
      </c>
      <c r="K9" s="36">
        <f>SUMIFS('MAINTENANCE LOG'!$O$8:$O$107,'MAINTENANCE LOG'!$J$8:$J$107,$B9)</f>
        <v>0</v>
      </c>
      <c r="L9" s="36">
        <f>SUMIFS('MAINTENANCE LOG'!$R$8:$R$107,'MAINTENANCE LOG'!$J$8:$J$107,$B9)</f>
        <v>0</v>
      </c>
      <c r="M9" s="36">
        <f>$L9-$K9</f>
        <v>0</v>
      </c>
      <c r="N9" s="36">
        <f>IFERROR(SUMIFS('MAINTENANCE LOG'!$R$8:$R$107,'MAINTENANCE LOG'!$J$8:$J$107,$B9,'MAINTENANCE LOG'!$Z$8:$Z$107,"Completed")/COUNTIFS('MAINTENANCE LOG'!$J$8:$J$107,$B9,'MAINTENANCE LOG'!$Z$8:$Z$107,"Completed"),0)</f>
        <v>0</v>
      </c>
      <c r="O9" s="75">
        <f>COUNTIFS('MAINTENANCE LOG'!$J$8:$J$107,$B9,'MAINTENANCE LOG'!$U$8:$U$107,"MET")</f>
        <v>0</v>
      </c>
      <c r="P9" s="37">
        <f>IFERROR($O9/$J9,0)</f>
        <v>0</v>
      </c>
      <c r="Q9" s="75">
        <f>COUNTIFS('MAINTENANCE LOG'!$J$8:$J$107,$B9,'MAINTENANCE LOG'!$U$8:$U$107,"MISSED")+COUNTIFS('MAINTENANCE LOG'!$J$8:$J$107,$B9,'MAINTENANCE LOG'!$U$8:$U$107,"OVERDUE")</f>
        <v>0</v>
      </c>
      <c r="R9" s="75">
        <f>COUNTIFS('MAINTENANCE LOG'!$J$8:$J$107,$B9,'MAINTENANCE LOG'!$X$8:$X$107,"Y")</f>
        <v>0</v>
      </c>
      <c r="S9" s="75">
        <f>COUNTIFS('MAINTENANCE LOG'!$J$8:$J$107,$B9,'MAINTENANCE LOG'!$AA$8:$AA$107,"REPEAT")</f>
        <v>0</v>
      </c>
      <c r="T9" s="38" t="str">
        <f>IF($I9=0,"",IF($J9=0,IF($H9&gt;='SETUP &amp; TARGETS'!$C$29,"GREEN","AMBER"),IF(OR($P9&lt;'SETUP &amp; TARGETS'!$C$30*0.8,$Q9&gt;0),"RED",IF(AND($H9&gt;='SETUP &amp; TARGETS'!$C$29,$P9&gt;='SETUP &amp; TARGETS'!$C$30),"GREEN","AMBER"))))</f>
        <v>AMBER</v>
      </c>
    </row>
    <row r="10" spans="2:20" x14ac:dyDescent="0.3">
      <c r="B10" s="32" t="str">
        <f>'SETUP &amp; TARGETS'!$B$43</f>
        <v>Tshepang Maepa</v>
      </c>
      <c r="C10" s="33" t="str">
        <f>'SETUP &amp; TARGETS'!$C$43</f>
        <v>Assistant Mechanic</v>
      </c>
      <c r="D10" s="74">
        <f>'MECHANIC ROSTER'!P39</f>
        <v>0</v>
      </c>
      <c r="E10" s="74">
        <f>'MECHANIC ROSTER'!Q39</f>
        <v>0</v>
      </c>
      <c r="F10" s="37">
        <f>IFERROR($E10/$D10,0)</f>
        <v>0</v>
      </c>
      <c r="G10" s="74">
        <f>'MECHANIC ROSTER'!R39</f>
        <v>0</v>
      </c>
      <c r="H10" s="37">
        <f>IFERROR($G10/$E10,0)</f>
        <v>0</v>
      </c>
      <c r="I10" s="75">
        <f>COUNTIF('MAINTENANCE LOG'!$J$8:$J$107,$B10)+COUNTIF('MAINTENANCE LOG'!$K$8:$K$107,$B10)</f>
        <v>0</v>
      </c>
      <c r="J10" s="75">
        <f>COUNTIFS('MAINTENANCE LOG'!$J$8:$J$107,$B10,'MAINTENANCE LOG'!$Z$8:$Z$107,"Completed")</f>
        <v>0</v>
      </c>
      <c r="K10" s="36">
        <f>SUMIFS('MAINTENANCE LOG'!$O$8:$O$107,'MAINTENANCE LOG'!$J$8:$J$107,$B10)</f>
        <v>0</v>
      </c>
      <c r="L10" s="36">
        <f>SUMIFS('MAINTENANCE LOG'!$R$8:$R$107,'MAINTENANCE LOG'!$J$8:$J$107,$B10)</f>
        <v>0</v>
      </c>
      <c r="M10" s="36">
        <f>$L10-$K10</f>
        <v>0</v>
      </c>
      <c r="N10" s="36">
        <f>IFERROR(SUMIFS('MAINTENANCE LOG'!$R$8:$R$107,'MAINTENANCE LOG'!$J$8:$J$107,$B10,'MAINTENANCE LOG'!$Z$8:$Z$107,"Completed")/COUNTIFS('MAINTENANCE LOG'!$J$8:$J$107,$B10,'MAINTENANCE LOG'!$Z$8:$Z$107,"Completed"),0)</f>
        <v>0</v>
      </c>
      <c r="O10" s="75">
        <f>COUNTIFS('MAINTENANCE LOG'!$J$8:$J$107,$B10,'MAINTENANCE LOG'!$U$8:$U$107,"MET")</f>
        <v>0</v>
      </c>
      <c r="P10" s="37">
        <f>IFERROR($O10/$J10,0)</f>
        <v>0</v>
      </c>
      <c r="Q10" s="75">
        <f>COUNTIFS('MAINTENANCE LOG'!$J$8:$J$107,$B10,'MAINTENANCE LOG'!$U$8:$U$107,"MISSED")+COUNTIFS('MAINTENANCE LOG'!$J$8:$J$107,$B10,'MAINTENANCE LOG'!$U$8:$U$107,"OVERDUE")</f>
        <v>0</v>
      </c>
      <c r="R10" s="75">
        <f>COUNTIFS('MAINTENANCE LOG'!$J$8:$J$107,$B10,'MAINTENANCE LOG'!$X$8:$X$107,"Y")</f>
        <v>0</v>
      </c>
      <c r="S10" s="75">
        <f>COUNTIFS('MAINTENANCE LOG'!$J$8:$J$107,$B10,'MAINTENANCE LOG'!$AA$8:$AA$107,"REPEAT")</f>
        <v>0</v>
      </c>
      <c r="T10" s="38" t="str">
        <f>IF($I10=0,"",IF($J10=0,IF($H10&gt;='SETUP &amp; TARGETS'!$C$29,"GREEN","AMBER"),IF(OR($P10&lt;'SETUP &amp; TARGETS'!$C$30*0.8,$Q10&gt;0),"RED",IF(AND($H10&gt;='SETUP &amp; TARGETS'!$C$29,$P10&gt;='SETUP &amp; TARGETS'!$C$30),"GREEN","AMBER"))))</f>
        <v/>
      </c>
    </row>
    <row r="11" spans="2:20" x14ac:dyDescent="0.3">
      <c r="B11" s="39" t="s">
        <v>289</v>
      </c>
      <c r="C11" s="76"/>
      <c r="D11" s="41">
        <f>SUM(D7:D10)</f>
        <v>0</v>
      </c>
      <c r="E11" s="41">
        <f>SUM(E7:E10)</f>
        <v>0</v>
      </c>
      <c r="F11" s="42">
        <f>IFERROR($E11/$D11,0)</f>
        <v>0</v>
      </c>
      <c r="G11" s="41">
        <f>SUM(G7:G10)</f>
        <v>264</v>
      </c>
      <c r="H11" s="42">
        <f>IFERROR($G11/$E11,0)</f>
        <v>0</v>
      </c>
      <c r="I11" s="77">
        <f>SUM(I7:I10)</f>
        <v>2</v>
      </c>
      <c r="J11" s="77">
        <f>SUM(J7:J10)</f>
        <v>0</v>
      </c>
      <c r="K11" s="41">
        <f>SUM(K7:K10)</f>
        <v>6</v>
      </c>
      <c r="L11" s="41">
        <f>SUM(L7:L10)</f>
        <v>132</v>
      </c>
      <c r="M11" s="41">
        <f>SUM(M7:M10)</f>
        <v>126</v>
      </c>
      <c r="N11" s="41">
        <f>IFERROR($L11/$J11,0)</f>
        <v>0</v>
      </c>
      <c r="O11" s="77">
        <f ca="1">SUM(O7:O10)</f>
        <v>1</v>
      </c>
      <c r="P11" s="42">
        <f ca="1">IFERROR($O11/$J11,0)</f>
        <v>0</v>
      </c>
      <c r="Q11" s="77">
        <f ca="1">SUM(Q7:Q10)</f>
        <v>0</v>
      </c>
      <c r="R11" s="77">
        <f>SUM(R7:R10)</f>
        <v>0</v>
      </c>
      <c r="S11" s="77">
        <f>SUM(S7:S10)</f>
        <v>0</v>
      </c>
      <c r="T11" s="43"/>
    </row>
    <row r="13" spans="2:20" x14ac:dyDescent="0.3">
      <c r="B13" s="30" t="s">
        <v>290</v>
      </c>
    </row>
    <row r="14" spans="2:20" ht="27.6" x14ac:dyDescent="0.3">
      <c r="B14" s="2" t="s">
        <v>45</v>
      </c>
      <c r="C14" s="2" t="s">
        <v>85</v>
      </c>
      <c r="D14" s="2" t="s">
        <v>291</v>
      </c>
      <c r="E14" s="2" t="s">
        <v>292</v>
      </c>
      <c r="F14" s="2" t="s">
        <v>293</v>
      </c>
      <c r="G14" s="2" t="s">
        <v>47</v>
      </c>
      <c r="H14" s="2" t="s">
        <v>294</v>
      </c>
      <c r="I14" s="2" t="s">
        <v>295</v>
      </c>
    </row>
    <row r="15" spans="2:20" x14ac:dyDescent="0.3">
      <c r="B15" s="32" t="str">
        <f>'EQUIPMENT REGISTER'!$B$7</f>
        <v>CRT220</v>
      </c>
      <c r="C15" s="33" t="str">
        <f>'EQUIPMENT REGISTER'!$C$7</f>
        <v>CAT 773 RDT</v>
      </c>
      <c r="D15" s="75">
        <f>IF($B15="","",COUNTIFS('MAINTENANCE LOG'!$C$8:$C$107,$B15,'MAINTENANCE LOG'!$Z$8:$Z$107,"Completed"))</f>
        <v>0</v>
      </c>
      <c r="E15" s="36">
        <f>IF($B15="","",SUMIFS('MAINTENANCE LOG'!$R$8:$R$107,'MAINTENANCE LOG'!$C$8:$C$107,$B15,'MAINTENANCE LOG'!$Z$8:$Z$107,"Completed"))</f>
        <v>0</v>
      </c>
      <c r="F15" s="36">
        <f t="shared" ref="F15:F29" si="0">IF($B15="","",IFERROR($E15/$D15,0))</f>
        <v>0</v>
      </c>
      <c r="G15" s="36">
        <f>IF($B15="","",SUMIFS('MAINTENANCE LOG'!$O$8:$O$107,'MAINTENANCE LOG'!$C$8:$C$107,$B15))</f>
        <v>6</v>
      </c>
      <c r="H15" s="36">
        <f t="shared" ref="H15:H29" si="1">IF($B15="","",$E15-$G15)</f>
        <v>-6</v>
      </c>
      <c r="I15" s="75">
        <f>IF($B15="","",COUNTIFS('MAINTENANCE LOG'!$C$8:$C$107,$B15,'MAINTENANCE LOG'!$AA$8:$AA$107,"REPEAT"))</f>
        <v>0</v>
      </c>
    </row>
    <row r="16" spans="2:20" x14ac:dyDescent="0.3">
      <c r="B16" s="32" t="str">
        <f>'EQUIPMENT REGISTER'!$B$8</f>
        <v>CRT221</v>
      </c>
      <c r="C16" s="33" t="str">
        <f>'EQUIPMENT REGISTER'!$C$8</f>
        <v>CAT 773 RDT</v>
      </c>
      <c r="D16" s="75">
        <f>IF($B16="","",COUNTIFS('MAINTENANCE LOG'!$C$8:$C$107,$B16,'MAINTENANCE LOG'!$Z$8:$Z$107,"Completed"))</f>
        <v>0</v>
      </c>
      <c r="E16" s="36">
        <f>IF($B16="","",SUMIFS('MAINTENANCE LOG'!$R$8:$R$107,'MAINTENANCE LOG'!$C$8:$C$107,$B16,'MAINTENANCE LOG'!$Z$8:$Z$107,"Completed"))</f>
        <v>0</v>
      </c>
      <c r="F16" s="36">
        <f t="shared" si="0"/>
        <v>0</v>
      </c>
      <c r="G16" s="36">
        <f>IF($B16="","",SUMIFS('MAINTENANCE LOG'!$O$8:$O$107,'MAINTENANCE LOG'!$C$8:$C$107,$B16))</f>
        <v>0</v>
      </c>
      <c r="H16" s="36">
        <f t="shared" si="1"/>
        <v>0</v>
      </c>
      <c r="I16" s="75">
        <f>IF($B16="","",COUNTIFS('MAINTENANCE LOG'!$C$8:$C$107,$B16,'MAINTENANCE LOG'!$AA$8:$AA$107,"REPEAT"))</f>
        <v>0</v>
      </c>
    </row>
    <row r="17" spans="2:9" x14ac:dyDescent="0.3">
      <c r="B17" s="32" t="str">
        <f>'EQUIPMENT REGISTER'!$B$9</f>
        <v>CRT222</v>
      </c>
      <c r="C17" s="33" t="str">
        <f>'EQUIPMENT REGISTER'!$C$9</f>
        <v>CAT 773 RDT</v>
      </c>
      <c r="D17" s="75">
        <f>IF($B17="","",COUNTIFS('MAINTENANCE LOG'!$C$8:$C$107,$B17,'MAINTENANCE LOG'!$Z$8:$Z$107,"Completed"))</f>
        <v>0</v>
      </c>
      <c r="E17" s="36">
        <f>IF($B17="","",SUMIFS('MAINTENANCE LOG'!$R$8:$R$107,'MAINTENANCE LOG'!$C$8:$C$107,$B17,'MAINTENANCE LOG'!$Z$8:$Z$107,"Completed"))</f>
        <v>0</v>
      </c>
      <c r="F17" s="36">
        <f t="shared" si="0"/>
        <v>0</v>
      </c>
      <c r="G17" s="36">
        <f>IF($B17="","",SUMIFS('MAINTENANCE LOG'!$O$8:$O$107,'MAINTENANCE LOG'!$C$8:$C$107,$B17))</f>
        <v>0</v>
      </c>
      <c r="H17" s="36">
        <f t="shared" si="1"/>
        <v>0</v>
      </c>
      <c r="I17" s="75">
        <f>IF($B17="","",COUNTIFS('MAINTENANCE LOG'!$C$8:$C$107,$B17,'MAINTENANCE LOG'!$AA$8:$AA$107,"REPEAT"))</f>
        <v>0</v>
      </c>
    </row>
    <row r="18" spans="2:9" x14ac:dyDescent="0.3">
      <c r="B18" s="32" t="str">
        <f>'EQUIPMENT REGISTER'!$B$10</f>
        <v>CRT224</v>
      </c>
      <c r="C18" s="33" t="str">
        <f>'EQUIPMENT REGISTER'!$C$10</f>
        <v>CAT 395 Excavator</v>
      </c>
      <c r="D18" s="75">
        <f>IF($B18="","",COUNTIFS('MAINTENANCE LOG'!$C$8:$C$107,$B18,'MAINTENANCE LOG'!$Z$8:$Z$107,"Completed"))</f>
        <v>0</v>
      </c>
      <c r="E18" s="36">
        <f>IF($B18="","",SUMIFS('MAINTENANCE LOG'!$R$8:$R$107,'MAINTENANCE LOG'!$C$8:$C$107,$B18,'MAINTENANCE LOG'!$Z$8:$Z$107,"Completed"))</f>
        <v>0</v>
      </c>
      <c r="F18" s="36">
        <f t="shared" si="0"/>
        <v>0</v>
      </c>
      <c r="G18" s="36">
        <f>IF($B18="","",SUMIFS('MAINTENANCE LOG'!$O$8:$O$107,'MAINTENANCE LOG'!$C$8:$C$107,$B18))</f>
        <v>0</v>
      </c>
      <c r="H18" s="36">
        <f t="shared" si="1"/>
        <v>0</v>
      </c>
      <c r="I18" s="75">
        <f>IF($B18="","",COUNTIFS('MAINTENANCE LOG'!$C$8:$C$107,$B18,'MAINTENANCE LOG'!$AA$8:$AA$107,"REPEAT"))</f>
        <v>0</v>
      </c>
    </row>
    <row r="19" spans="2:9" x14ac:dyDescent="0.3">
      <c r="B19" s="32" t="str">
        <f>'EQUIPMENT REGISTER'!$B$11</f>
        <v>CRT225</v>
      </c>
      <c r="C19" s="33" t="str">
        <f>'EQUIPMENT REGISTER'!$C$11</f>
        <v>CAT D9 Dozer</v>
      </c>
      <c r="D19" s="75">
        <f>IF($B19="","",COUNTIFS('MAINTENANCE LOG'!$C$8:$C$107,$B19,'MAINTENANCE LOG'!$Z$8:$Z$107,"Completed"))</f>
        <v>0</v>
      </c>
      <c r="E19" s="36">
        <f>IF($B19="","",SUMIFS('MAINTENANCE LOG'!$R$8:$R$107,'MAINTENANCE LOG'!$C$8:$C$107,$B19,'MAINTENANCE LOG'!$Z$8:$Z$107,"Completed"))</f>
        <v>0</v>
      </c>
      <c r="F19" s="36">
        <f t="shared" si="0"/>
        <v>0</v>
      </c>
      <c r="G19" s="36">
        <f>IF($B19="","",SUMIFS('MAINTENANCE LOG'!$O$8:$O$107,'MAINTENANCE LOG'!$C$8:$C$107,$B19))</f>
        <v>0</v>
      </c>
      <c r="H19" s="36">
        <f t="shared" si="1"/>
        <v>0</v>
      </c>
      <c r="I19" s="75">
        <f>IF($B19="","",COUNTIFS('MAINTENANCE LOG'!$C$8:$C$107,$B19,'MAINTENANCE LOG'!$AA$8:$AA$107,"REPEAT"))</f>
        <v>0</v>
      </c>
    </row>
    <row r="20" spans="2:9" x14ac:dyDescent="0.3">
      <c r="B20" s="32" t="str">
        <f>'EQUIPMENT REGISTER'!$B$12</f>
        <v>RCPM008</v>
      </c>
      <c r="C20" s="33" t="str">
        <f>'EQUIPMENT REGISTER'!$C$12</f>
        <v>Grader</v>
      </c>
      <c r="D20" s="75">
        <f>IF($B20="","",COUNTIFS('MAINTENANCE LOG'!$C$8:$C$107,$B20,'MAINTENANCE LOG'!$Z$8:$Z$107,"Completed"))</f>
        <v>0</v>
      </c>
      <c r="E20" s="36">
        <f>IF($B20="","",SUMIFS('MAINTENANCE LOG'!$R$8:$R$107,'MAINTENANCE LOG'!$C$8:$C$107,$B20,'MAINTENANCE LOG'!$Z$8:$Z$107,"Completed"))</f>
        <v>0</v>
      </c>
      <c r="F20" s="36">
        <f t="shared" si="0"/>
        <v>0</v>
      </c>
      <c r="G20" s="36">
        <f>IF($B20="","",SUMIFS('MAINTENANCE LOG'!$O$8:$O$107,'MAINTENANCE LOG'!$C$8:$C$107,$B20))</f>
        <v>0</v>
      </c>
      <c r="H20" s="36">
        <f t="shared" si="1"/>
        <v>0</v>
      </c>
      <c r="I20" s="75">
        <f>IF($B20="","",COUNTIFS('MAINTENANCE LOG'!$C$8:$C$107,$B20,'MAINTENANCE LOG'!$AA$8:$AA$107,"REPEAT"))</f>
        <v>0</v>
      </c>
    </row>
    <row r="21" spans="2:9" x14ac:dyDescent="0.3">
      <c r="B21" s="32" t="str">
        <f>'EQUIPMENT REGISTER'!$B$13</f>
        <v>RCPM009</v>
      </c>
      <c r="C21" s="33" t="str">
        <f>'EQUIPMENT REGISTER'!$C$13</f>
        <v>Compactor</v>
      </c>
      <c r="D21" s="75">
        <f>IF($B21="","",COUNTIFS('MAINTENANCE LOG'!$C$8:$C$107,$B21,'MAINTENANCE LOG'!$Z$8:$Z$107,"Completed"))</f>
        <v>0</v>
      </c>
      <c r="E21" s="36">
        <f>IF($B21="","",SUMIFS('MAINTENANCE LOG'!$R$8:$R$107,'MAINTENANCE LOG'!$C$8:$C$107,$B21,'MAINTENANCE LOG'!$Z$8:$Z$107,"Completed"))</f>
        <v>0</v>
      </c>
      <c r="F21" s="36">
        <f t="shared" si="0"/>
        <v>0</v>
      </c>
      <c r="G21" s="36">
        <f>IF($B21="","",SUMIFS('MAINTENANCE LOG'!$O$8:$O$107,'MAINTENANCE LOG'!$C$8:$C$107,$B21))</f>
        <v>0</v>
      </c>
      <c r="H21" s="36">
        <f t="shared" si="1"/>
        <v>0</v>
      </c>
      <c r="I21" s="75">
        <f>IF($B21="","",COUNTIFS('MAINTENANCE LOG'!$C$8:$C$107,$B21,'MAINTENANCE LOG'!$AA$8:$AA$107,"REPEAT"))</f>
        <v>0</v>
      </c>
    </row>
    <row r="22" spans="2:9" x14ac:dyDescent="0.3">
      <c r="B22" s="32" t="str">
        <f>'EQUIPMENT REGISTER'!$B$14</f>
        <v>RCPM010</v>
      </c>
      <c r="C22" s="33" t="str">
        <f>'EQUIPMENT REGISTER'!$C$14</f>
        <v>TLB</v>
      </c>
      <c r="D22" s="75">
        <f>IF($B22="","",COUNTIFS('MAINTENANCE LOG'!$C$8:$C$107,$B22,'MAINTENANCE LOG'!$Z$8:$Z$107,"Completed"))</f>
        <v>0</v>
      </c>
      <c r="E22" s="36">
        <f>IF($B22="","",SUMIFS('MAINTENANCE LOG'!$R$8:$R$107,'MAINTENANCE LOG'!$C$8:$C$107,$B22,'MAINTENANCE LOG'!$Z$8:$Z$107,"Completed"))</f>
        <v>0</v>
      </c>
      <c r="F22" s="36">
        <f t="shared" si="0"/>
        <v>0</v>
      </c>
      <c r="G22" s="36">
        <f>IF($B22="","",SUMIFS('MAINTENANCE LOG'!$O$8:$O$107,'MAINTENANCE LOG'!$C$8:$C$107,$B22))</f>
        <v>0</v>
      </c>
      <c r="H22" s="36">
        <f t="shared" si="1"/>
        <v>0</v>
      </c>
      <c r="I22" s="75">
        <f>IF($B22="","",COUNTIFS('MAINTENANCE LOG'!$C$8:$C$107,$B22,'MAINTENANCE LOG'!$AA$8:$AA$107,"REPEAT"))</f>
        <v>0</v>
      </c>
    </row>
    <row r="23" spans="2:9" x14ac:dyDescent="0.3">
      <c r="B23" s="32" t="str">
        <f>'EQUIPMENT REGISTER'!$B$15</f>
        <v>RCPM023</v>
      </c>
      <c r="C23" s="33" t="str">
        <f>'EQUIPMENT REGISTER'!$C$15</f>
        <v>Water Bowser</v>
      </c>
      <c r="D23" s="75">
        <f>IF($B23="","",COUNTIFS('MAINTENANCE LOG'!$C$8:$C$107,$B23,'MAINTENANCE LOG'!$Z$8:$Z$107,"Completed"))</f>
        <v>0</v>
      </c>
      <c r="E23" s="36">
        <f>IF($B23="","",SUMIFS('MAINTENANCE LOG'!$R$8:$R$107,'MAINTENANCE LOG'!$C$8:$C$107,$B23,'MAINTENANCE LOG'!$Z$8:$Z$107,"Completed"))</f>
        <v>0</v>
      </c>
      <c r="F23" s="36">
        <f t="shared" si="0"/>
        <v>0</v>
      </c>
      <c r="G23" s="36">
        <f>IF($B23="","",SUMIFS('MAINTENANCE LOG'!$O$8:$O$107,'MAINTENANCE LOG'!$C$8:$C$107,$B23))</f>
        <v>0</v>
      </c>
      <c r="H23" s="36">
        <f t="shared" si="1"/>
        <v>0</v>
      </c>
      <c r="I23" s="75">
        <f>IF($B23="","",COUNTIFS('MAINTENANCE LOG'!$C$8:$C$107,$B23,'MAINTENANCE LOG'!$AA$8:$AA$107,"REPEAT"))</f>
        <v>0</v>
      </c>
    </row>
    <row r="24" spans="2:9" x14ac:dyDescent="0.3">
      <c r="B24" s="32" t="str">
        <f>'EQUIPMENT REGISTER'!$B$16</f>
        <v>RCPM024</v>
      </c>
      <c r="C24" s="33" t="str">
        <f>'EQUIPMENT REGISTER'!$C$16</f>
        <v>Water Bowser</v>
      </c>
      <c r="D24" s="75">
        <f>IF($B24="","",COUNTIFS('MAINTENANCE LOG'!$C$8:$C$107,$B24,'MAINTENANCE LOG'!$Z$8:$Z$107,"Completed"))</f>
        <v>0</v>
      </c>
      <c r="E24" s="36">
        <f>IF($B24="","",SUMIFS('MAINTENANCE LOG'!$R$8:$R$107,'MAINTENANCE LOG'!$C$8:$C$107,$B24,'MAINTENANCE LOG'!$Z$8:$Z$107,"Completed"))</f>
        <v>0</v>
      </c>
      <c r="F24" s="36">
        <f t="shared" si="0"/>
        <v>0</v>
      </c>
      <c r="G24" s="36">
        <f>IF($B24="","",SUMIFS('MAINTENANCE LOG'!$O$8:$O$107,'MAINTENANCE LOG'!$C$8:$C$107,$B24))</f>
        <v>0</v>
      </c>
      <c r="H24" s="36">
        <f t="shared" si="1"/>
        <v>0</v>
      </c>
      <c r="I24" s="75">
        <f>IF($B24="","",COUNTIFS('MAINTENANCE LOG'!$C$8:$C$107,$B24,'MAINTENANCE LOG'!$AA$8:$AA$107,"REPEAT"))</f>
        <v>0</v>
      </c>
    </row>
    <row r="25" spans="2:9" x14ac:dyDescent="0.3">
      <c r="B25" s="32">
        <f>'EQUIPMENT REGISTER'!$B$17</f>
        <v>0</v>
      </c>
      <c r="C25" s="33">
        <f>'EQUIPMENT REGISTER'!$C$17</f>
        <v>0</v>
      </c>
      <c r="D25" s="75">
        <f>IF($B25="","",COUNTIFS('MAINTENANCE LOG'!$C$8:$C$107,$B25,'MAINTENANCE LOG'!$Z$8:$Z$107,"Completed"))</f>
        <v>0</v>
      </c>
      <c r="E25" s="36">
        <f>IF($B25="","",SUMIFS('MAINTENANCE LOG'!$R$8:$R$107,'MAINTENANCE LOG'!$C$8:$C$107,$B25,'MAINTENANCE LOG'!$Z$8:$Z$107,"Completed"))</f>
        <v>0</v>
      </c>
      <c r="F25" s="36">
        <f t="shared" si="0"/>
        <v>0</v>
      </c>
      <c r="G25" s="36">
        <f>IF($B25="","",SUMIFS('MAINTENANCE LOG'!$O$8:$O$107,'MAINTENANCE LOG'!$C$8:$C$107,$B25))</f>
        <v>0</v>
      </c>
      <c r="H25" s="36">
        <f t="shared" si="1"/>
        <v>0</v>
      </c>
      <c r="I25" s="75">
        <f>IF($B25="","",COUNTIFS('MAINTENANCE LOG'!$C$8:$C$107,$B25,'MAINTENANCE LOG'!$AA$8:$AA$107,"REPEAT"))</f>
        <v>0</v>
      </c>
    </row>
    <row r="26" spans="2:9" x14ac:dyDescent="0.3">
      <c r="B26" s="32">
        <f>'EQUIPMENT REGISTER'!$B$18</f>
        <v>0</v>
      </c>
      <c r="C26" s="33">
        <f>'EQUIPMENT REGISTER'!$C$18</f>
        <v>0</v>
      </c>
      <c r="D26" s="75">
        <f>IF($B26="","",COUNTIFS('MAINTENANCE LOG'!$C$8:$C$107,$B26,'MAINTENANCE LOG'!$Z$8:$Z$107,"Completed"))</f>
        <v>0</v>
      </c>
      <c r="E26" s="36">
        <f>IF($B26="","",SUMIFS('MAINTENANCE LOG'!$R$8:$R$107,'MAINTENANCE LOG'!$C$8:$C$107,$B26,'MAINTENANCE LOG'!$Z$8:$Z$107,"Completed"))</f>
        <v>0</v>
      </c>
      <c r="F26" s="36">
        <f t="shared" si="0"/>
        <v>0</v>
      </c>
      <c r="G26" s="36">
        <f>IF($B26="","",SUMIFS('MAINTENANCE LOG'!$O$8:$O$107,'MAINTENANCE LOG'!$C$8:$C$107,$B26))</f>
        <v>0</v>
      </c>
      <c r="H26" s="36">
        <f t="shared" si="1"/>
        <v>0</v>
      </c>
      <c r="I26" s="75">
        <f>IF($B26="","",COUNTIFS('MAINTENANCE LOG'!$C$8:$C$107,$B26,'MAINTENANCE LOG'!$AA$8:$AA$107,"REPEAT"))</f>
        <v>0</v>
      </c>
    </row>
    <row r="27" spans="2:9" x14ac:dyDescent="0.3">
      <c r="B27" s="32">
        <f>'EQUIPMENT REGISTER'!$B$19</f>
        <v>0</v>
      </c>
      <c r="C27" s="33">
        <f>'EQUIPMENT REGISTER'!$C$19</f>
        <v>0</v>
      </c>
      <c r="D27" s="75">
        <f>IF($B27="","",COUNTIFS('MAINTENANCE LOG'!$C$8:$C$107,$B27,'MAINTENANCE LOG'!$Z$8:$Z$107,"Completed"))</f>
        <v>0</v>
      </c>
      <c r="E27" s="36">
        <f>IF($B27="","",SUMIFS('MAINTENANCE LOG'!$R$8:$R$107,'MAINTENANCE LOG'!$C$8:$C$107,$B27,'MAINTENANCE LOG'!$Z$8:$Z$107,"Completed"))</f>
        <v>0</v>
      </c>
      <c r="F27" s="36">
        <f t="shared" si="0"/>
        <v>0</v>
      </c>
      <c r="G27" s="36">
        <f>IF($B27="","",SUMIFS('MAINTENANCE LOG'!$O$8:$O$107,'MAINTENANCE LOG'!$C$8:$C$107,$B27))</f>
        <v>0</v>
      </c>
      <c r="H27" s="36">
        <f t="shared" si="1"/>
        <v>0</v>
      </c>
      <c r="I27" s="75">
        <f>IF($B27="","",COUNTIFS('MAINTENANCE LOG'!$C$8:$C$107,$B27,'MAINTENANCE LOG'!$AA$8:$AA$107,"REPEAT"))</f>
        <v>0</v>
      </c>
    </row>
    <row r="28" spans="2:9" x14ac:dyDescent="0.3">
      <c r="B28" s="32">
        <f>'EQUIPMENT REGISTER'!$B$20</f>
        <v>0</v>
      </c>
      <c r="C28" s="33">
        <f>'EQUIPMENT REGISTER'!$C$20</f>
        <v>0</v>
      </c>
      <c r="D28" s="75">
        <f>IF($B28="","",COUNTIFS('MAINTENANCE LOG'!$C$8:$C$107,$B28,'MAINTENANCE LOG'!$Z$8:$Z$107,"Completed"))</f>
        <v>0</v>
      </c>
      <c r="E28" s="36">
        <f>IF($B28="","",SUMIFS('MAINTENANCE LOG'!$R$8:$R$107,'MAINTENANCE LOG'!$C$8:$C$107,$B28,'MAINTENANCE LOG'!$Z$8:$Z$107,"Completed"))</f>
        <v>0</v>
      </c>
      <c r="F28" s="36">
        <f t="shared" si="0"/>
        <v>0</v>
      </c>
      <c r="G28" s="36">
        <f>IF($B28="","",SUMIFS('MAINTENANCE LOG'!$O$8:$O$107,'MAINTENANCE LOG'!$C$8:$C$107,$B28))</f>
        <v>0</v>
      </c>
      <c r="H28" s="36">
        <f t="shared" si="1"/>
        <v>0</v>
      </c>
      <c r="I28" s="75">
        <f>IF($B28="","",COUNTIFS('MAINTENANCE LOG'!$C$8:$C$107,$B28,'MAINTENANCE LOG'!$AA$8:$AA$107,"REPEAT"))</f>
        <v>0</v>
      </c>
    </row>
    <row r="29" spans="2:9" x14ac:dyDescent="0.3">
      <c r="B29" s="32">
        <f>'EQUIPMENT REGISTER'!$B$21</f>
        <v>0</v>
      </c>
      <c r="C29" s="33">
        <f>'EQUIPMENT REGISTER'!$C$21</f>
        <v>0</v>
      </c>
      <c r="D29" s="75">
        <f>IF($B29="","",COUNTIFS('MAINTENANCE LOG'!$C$8:$C$107,$B29,'MAINTENANCE LOG'!$Z$8:$Z$107,"Completed"))</f>
        <v>0</v>
      </c>
      <c r="E29" s="36">
        <f>IF($B29="","",SUMIFS('MAINTENANCE LOG'!$R$8:$R$107,'MAINTENANCE LOG'!$C$8:$C$107,$B29,'MAINTENANCE LOG'!$Z$8:$Z$107,"Completed"))</f>
        <v>0</v>
      </c>
      <c r="F29" s="36">
        <f t="shared" si="0"/>
        <v>0</v>
      </c>
      <c r="G29" s="36">
        <f>IF($B29="","",SUMIFS('MAINTENANCE LOG'!$O$8:$O$107,'MAINTENANCE LOG'!$C$8:$C$107,$B29))</f>
        <v>0</v>
      </c>
      <c r="H29" s="36">
        <f t="shared" si="1"/>
        <v>0</v>
      </c>
      <c r="I29" s="75">
        <f>IF($B29="","",COUNTIFS('MAINTENANCE LOG'!$C$8:$C$107,$B29,'MAINTENANCE LOG'!$AA$8:$AA$107,"REPEAT"))</f>
        <v>0</v>
      </c>
    </row>
    <row r="31" spans="2:9" x14ac:dyDescent="0.3">
      <c r="B31" s="30" t="s">
        <v>296</v>
      </c>
    </row>
    <row r="32" spans="2:9" ht="27.6" x14ac:dyDescent="0.3">
      <c r="B32" s="2" t="s">
        <v>254</v>
      </c>
      <c r="C32" s="2" t="s">
        <v>297</v>
      </c>
      <c r="D32" s="2" t="s">
        <v>298</v>
      </c>
      <c r="E32" s="2" t="s">
        <v>292</v>
      </c>
      <c r="F32" s="2" t="s">
        <v>293</v>
      </c>
      <c r="G32" s="2" t="s">
        <v>295</v>
      </c>
    </row>
    <row r="33" spans="2:7" x14ac:dyDescent="0.3">
      <c r="B33" s="51" t="s">
        <v>299</v>
      </c>
      <c r="C33" s="75">
        <f>COUNTIF('MAINTENANCE LOG'!$F$8:$F$107,$B33)</f>
        <v>0</v>
      </c>
      <c r="D33" s="75">
        <f>COUNTIFS('MAINTENANCE LOG'!$F$8:$F$107,$B33,'MAINTENANCE LOG'!$Z$8:$Z$107,"Completed")</f>
        <v>0</v>
      </c>
      <c r="E33" s="36">
        <f>SUMIFS('MAINTENANCE LOG'!$R$8:$R$107,'MAINTENANCE LOG'!$F$8:$F$107,$B33,'MAINTENANCE LOG'!$Z$8:$Z$107,"Completed")</f>
        <v>0</v>
      </c>
      <c r="F33" s="36">
        <f t="shared" ref="F33:F43" si="2">IFERROR($E33/$D33,0)</f>
        <v>0</v>
      </c>
      <c r="G33" s="75">
        <f>COUNTIFS('MAINTENANCE LOG'!$F$8:$F$107,$B33,'MAINTENANCE LOG'!$AA$8:$AA$107,"REPEAT")</f>
        <v>0</v>
      </c>
    </row>
    <row r="34" spans="2:7" x14ac:dyDescent="0.3">
      <c r="B34" s="51" t="s">
        <v>300</v>
      </c>
      <c r="C34" s="75">
        <f>COUNTIF('MAINTENANCE LOG'!$F$8:$F$107,$B34)</f>
        <v>0</v>
      </c>
      <c r="D34" s="75">
        <f>COUNTIFS('MAINTENANCE LOG'!$F$8:$F$107,$B34,'MAINTENANCE LOG'!$Z$8:$Z$107,"Completed")</f>
        <v>0</v>
      </c>
      <c r="E34" s="36">
        <f>SUMIFS('MAINTENANCE LOG'!$R$8:$R$107,'MAINTENANCE LOG'!$F$8:$F$107,$B34,'MAINTENANCE LOG'!$Z$8:$Z$107,"Completed")</f>
        <v>0</v>
      </c>
      <c r="F34" s="36">
        <f t="shared" si="2"/>
        <v>0</v>
      </c>
      <c r="G34" s="75">
        <f>COUNTIFS('MAINTENANCE LOG'!$F$8:$F$107,$B34,'MAINTENANCE LOG'!$AA$8:$AA$107,"REPEAT")</f>
        <v>0</v>
      </c>
    </row>
    <row r="35" spans="2:7" x14ac:dyDescent="0.3">
      <c r="B35" s="51" t="s">
        <v>301</v>
      </c>
      <c r="C35" s="75">
        <f>COUNTIF('MAINTENANCE LOG'!$F$8:$F$107,$B35)</f>
        <v>0</v>
      </c>
      <c r="D35" s="75">
        <f>COUNTIFS('MAINTENANCE LOG'!$F$8:$F$107,$B35,'MAINTENANCE LOG'!$Z$8:$Z$107,"Completed")</f>
        <v>0</v>
      </c>
      <c r="E35" s="36">
        <f>SUMIFS('MAINTENANCE LOG'!$R$8:$R$107,'MAINTENANCE LOG'!$F$8:$F$107,$B35,'MAINTENANCE LOG'!$Z$8:$Z$107,"Completed")</f>
        <v>0</v>
      </c>
      <c r="F35" s="36">
        <f t="shared" si="2"/>
        <v>0</v>
      </c>
      <c r="G35" s="75">
        <f>COUNTIFS('MAINTENANCE LOG'!$F$8:$F$107,$B35,'MAINTENANCE LOG'!$AA$8:$AA$107,"REPEAT")</f>
        <v>0</v>
      </c>
    </row>
    <row r="36" spans="2:7" x14ac:dyDescent="0.3">
      <c r="B36" s="51" t="s">
        <v>302</v>
      </c>
      <c r="C36" s="75">
        <f>COUNTIF('MAINTENANCE LOG'!$F$8:$F$107,$B36)</f>
        <v>0</v>
      </c>
      <c r="D36" s="75">
        <f>COUNTIFS('MAINTENANCE LOG'!$F$8:$F$107,$B36,'MAINTENANCE LOG'!$Z$8:$Z$107,"Completed")</f>
        <v>0</v>
      </c>
      <c r="E36" s="36">
        <f>SUMIFS('MAINTENANCE LOG'!$R$8:$R$107,'MAINTENANCE LOG'!$F$8:$F$107,$B36,'MAINTENANCE LOG'!$Z$8:$Z$107,"Completed")</f>
        <v>0</v>
      </c>
      <c r="F36" s="36">
        <f t="shared" si="2"/>
        <v>0</v>
      </c>
      <c r="G36" s="75">
        <f>COUNTIFS('MAINTENANCE LOG'!$F$8:$F$107,$B36,'MAINTENANCE LOG'!$AA$8:$AA$107,"REPEAT")</f>
        <v>0</v>
      </c>
    </row>
    <row r="37" spans="2:7" x14ac:dyDescent="0.3">
      <c r="B37" s="51" t="s">
        <v>303</v>
      </c>
      <c r="C37" s="75">
        <f>COUNTIF('MAINTENANCE LOG'!$F$8:$F$107,$B37)</f>
        <v>0</v>
      </c>
      <c r="D37" s="75">
        <f>COUNTIFS('MAINTENANCE LOG'!$F$8:$F$107,$B37,'MAINTENANCE LOG'!$Z$8:$Z$107,"Completed")</f>
        <v>0</v>
      </c>
      <c r="E37" s="36">
        <f>SUMIFS('MAINTENANCE LOG'!$R$8:$R$107,'MAINTENANCE LOG'!$F$8:$F$107,$B37,'MAINTENANCE LOG'!$Z$8:$Z$107,"Completed")</f>
        <v>0</v>
      </c>
      <c r="F37" s="36">
        <f t="shared" si="2"/>
        <v>0</v>
      </c>
      <c r="G37" s="75">
        <f>COUNTIFS('MAINTENANCE LOG'!$F$8:$F$107,$B37,'MAINTENANCE LOG'!$AA$8:$AA$107,"REPEAT")</f>
        <v>0</v>
      </c>
    </row>
    <row r="38" spans="2:7" x14ac:dyDescent="0.3">
      <c r="B38" s="51" t="s">
        <v>304</v>
      </c>
      <c r="C38" s="75">
        <f>COUNTIF('MAINTENANCE LOG'!$F$8:$F$107,$B38)</f>
        <v>1</v>
      </c>
      <c r="D38" s="75">
        <f>COUNTIFS('MAINTENANCE LOG'!$F$8:$F$107,$B38,'MAINTENANCE LOG'!$Z$8:$Z$107,"Completed")</f>
        <v>0</v>
      </c>
      <c r="E38" s="36">
        <f>SUMIFS('MAINTENANCE LOG'!$R$8:$R$107,'MAINTENANCE LOG'!$F$8:$F$107,$B38,'MAINTENANCE LOG'!$Z$8:$Z$107,"Completed")</f>
        <v>0</v>
      </c>
      <c r="F38" s="36">
        <f t="shared" si="2"/>
        <v>0</v>
      </c>
      <c r="G38" s="75">
        <f>COUNTIFS('MAINTENANCE LOG'!$F$8:$F$107,$B38,'MAINTENANCE LOG'!$AA$8:$AA$107,"REPEAT")</f>
        <v>0</v>
      </c>
    </row>
    <row r="39" spans="2:7" x14ac:dyDescent="0.3">
      <c r="B39" s="51" t="s">
        <v>305</v>
      </c>
      <c r="C39" s="75">
        <f>COUNTIF('MAINTENANCE LOG'!$F$8:$F$107,$B39)</f>
        <v>0</v>
      </c>
      <c r="D39" s="75">
        <f>COUNTIFS('MAINTENANCE LOG'!$F$8:$F$107,$B39,'MAINTENANCE LOG'!$Z$8:$Z$107,"Completed")</f>
        <v>0</v>
      </c>
      <c r="E39" s="36">
        <f>SUMIFS('MAINTENANCE LOG'!$R$8:$R$107,'MAINTENANCE LOG'!$F$8:$F$107,$B39,'MAINTENANCE LOG'!$Z$8:$Z$107,"Completed")</f>
        <v>0</v>
      </c>
      <c r="F39" s="36">
        <f t="shared" si="2"/>
        <v>0</v>
      </c>
      <c r="G39" s="75">
        <f>COUNTIFS('MAINTENANCE LOG'!$F$8:$F$107,$B39,'MAINTENANCE LOG'!$AA$8:$AA$107,"REPEAT")</f>
        <v>0</v>
      </c>
    </row>
    <row r="40" spans="2:7" x14ac:dyDescent="0.3">
      <c r="B40" s="51" t="s">
        <v>306</v>
      </c>
      <c r="C40" s="75">
        <f>COUNTIF('MAINTENANCE LOG'!$F$8:$F$107,$B40)</f>
        <v>0</v>
      </c>
      <c r="D40" s="75">
        <f>COUNTIFS('MAINTENANCE LOG'!$F$8:$F$107,$B40,'MAINTENANCE LOG'!$Z$8:$Z$107,"Completed")</f>
        <v>0</v>
      </c>
      <c r="E40" s="36">
        <f>SUMIFS('MAINTENANCE LOG'!$R$8:$R$107,'MAINTENANCE LOG'!$F$8:$F$107,$B40,'MAINTENANCE LOG'!$Z$8:$Z$107,"Completed")</f>
        <v>0</v>
      </c>
      <c r="F40" s="36">
        <f t="shared" si="2"/>
        <v>0</v>
      </c>
      <c r="G40" s="75">
        <f>COUNTIFS('MAINTENANCE LOG'!$F$8:$F$107,$B40,'MAINTENANCE LOG'!$AA$8:$AA$107,"REPEAT")</f>
        <v>0</v>
      </c>
    </row>
    <row r="41" spans="2:7" x14ac:dyDescent="0.3">
      <c r="B41" s="51" t="s">
        <v>307</v>
      </c>
      <c r="C41" s="75">
        <f>COUNTIF('MAINTENANCE LOG'!$F$8:$F$107,$B41)</f>
        <v>0</v>
      </c>
      <c r="D41" s="75">
        <f>COUNTIFS('MAINTENANCE LOG'!$F$8:$F$107,$B41,'MAINTENANCE LOG'!$Z$8:$Z$107,"Completed")</f>
        <v>0</v>
      </c>
      <c r="E41" s="36">
        <f>SUMIFS('MAINTENANCE LOG'!$R$8:$R$107,'MAINTENANCE LOG'!$F$8:$F$107,$B41,'MAINTENANCE LOG'!$Z$8:$Z$107,"Completed")</f>
        <v>0</v>
      </c>
      <c r="F41" s="36">
        <f t="shared" si="2"/>
        <v>0</v>
      </c>
      <c r="G41" s="75">
        <f>COUNTIFS('MAINTENANCE LOG'!$F$8:$F$107,$B41,'MAINTENANCE LOG'!$AA$8:$AA$107,"REPEAT")</f>
        <v>0</v>
      </c>
    </row>
    <row r="42" spans="2:7" x14ac:dyDescent="0.3">
      <c r="B42" s="51" t="s">
        <v>308</v>
      </c>
      <c r="C42" s="75">
        <f>COUNTIF('MAINTENANCE LOG'!$F$8:$F$107,$B42)</f>
        <v>0</v>
      </c>
      <c r="D42" s="75">
        <f>COUNTIFS('MAINTENANCE LOG'!$F$8:$F$107,$B42,'MAINTENANCE LOG'!$Z$8:$Z$107,"Completed")</f>
        <v>0</v>
      </c>
      <c r="E42" s="36">
        <f>SUMIFS('MAINTENANCE LOG'!$R$8:$R$107,'MAINTENANCE LOG'!$F$8:$F$107,$B42,'MAINTENANCE LOG'!$Z$8:$Z$107,"Completed")</f>
        <v>0</v>
      </c>
      <c r="F42" s="36">
        <f t="shared" si="2"/>
        <v>0</v>
      </c>
      <c r="G42" s="75">
        <f>COUNTIFS('MAINTENANCE LOG'!$F$8:$F$107,$B42,'MAINTENANCE LOG'!$AA$8:$AA$107,"REPEAT")</f>
        <v>0</v>
      </c>
    </row>
    <row r="43" spans="2:7" x14ac:dyDescent="0.3">
      <c r="B43" s="51" t="s">
        <v>309</v>
      </c>
      <c r="C43" s="75">
        <f>COUNTIF('MAINTENANCE LOG'!$F$8:$F$107,$B43)</f>
        <v>0</v>
      </c>
      <c r="D43" s="75">
        <f>COUNTIFS('MAINTENANCE LOG'!$F$8:$F$107,$B43,'MAINTENANCE LOG'!$Z$8:$Z$107,"Completed")</f>
        <v>0</v>
      </c>
      <c r="E43" s="36">
        <f>SUMIFS('MAINTENANCE LOG'!$R$8:$R$107,'MAINTENANCE LOG'!$F$8:$F$107,$B43,'MAINTENANCE LOG'!$Z$8:$Z$107,"Completed")</f>
        <v>0</v>
      </c>
      <c r="F43" s="36">
        <f t="shared" si="2"/>
        <v>0</v>
      </c>
      <c r="G43" s="75">
        <f>COUNTIFS('MAINTENANCE LOG'!$F$8:$F$107,$B43,'MAINTENANCE LOG'!$AA$8:$AA$107,"REPEAT")</f>
        <v>0</v>
      </c>
    </row>
    <row r="46" spans="2:7" x14ac:dyDescent="0.3">
      <c r="B46" s="30" t="s">
        <v>310</v>
      </c>
    </row>
    <row r="47" spans="2:7" ht="27.6" x14ac:dyDescent="0.3">
      <c r="B47" s="2" t="s">
        <v>197</v>
      </c>
      <c r="C47" s="2" t="s">
        <v>297</v>
      </c>
      <c r="D47" s="2" t="s">
        <v>298</v>
      </c>
      <c r="E47" s="2" t="s">
        <v>292</v>
      </c>
      <c r="F47" s="2" t="s">
        <v>293</v>
      </c>
    </row>
    <row r="48" spans="2:7" x14ac:dyDescent="0.3">
      <c r="B48" s="51" t="s">
        <v>311</v>
      </c>
      <c r="C48" s="75">
        <f>COUNTIF('MAINTENANCE LOG'!$I$8:$I$107,$B48)</f>
        <v>1</v>
      </c>
      <c r="D48" s="75">
        <f>COUNTIFS('MAINTENANCE LOG'!$I$8:$I$107,$B48,'MAINTENANCE LOG'!$Z$8:$Z$107,"Completed")</f>
        <v>0</v>
      </c>
      <c r="E48" s="36">
        <f>SUMIFS('MAINTENANCE LOG'!$R$8:$R$107,'MAINTENANCE LOG'!$I$8:$I$107,$B48,'MAINTENANCE LOG'!$Z$8:$Z$107,"Completed")</f>
        <v>0</v>
      </c>
      <c r="F48" s="36">
        <f>IFERROR($E48/$D48,0)</f>
        <v>0</v>
      </c>
    </row>
    <row r="49" spans="2:9" x14ac:dyDescent="0.3">
      <c r="B49" s="51" t="s">
        <v>312</v>
      </c>
      <c r="C49" s="75">
        <f>COUNTIF('MAINTENANCE LOG'!$I$8:$I$107,$B49)</f>
        <v>0</v>
      </c>
      <c r="D49" s="75">
        <f>COUNTIFS('MAINTENANCE LOG'!$I$8:$I$107,$B49,'MAINTENANCE LOG'!$Z$8:$Z$107,"Completed")</f>
        <v>0</v>
      </c>
      <c r="E49" s="36">
        <f>SUMIFS('MAINTENANCE LOG'!$R$8:$R$107,'MAINTENANCE LOG'!$I$8:$I$107,$B49,'MAINTENANCE LOG'!$Z$8:$Z$107,"Completed")</f>
        <v>0</v>
      </c>
      <c r="F49" s="36">
        <f>IFERROR($E49/$D49,0)</f>
        <v>0</v>
      </c>
    </row>
    <row r="52" spans="2:9" x14ac:dyDescent="0.3">
      <c r="B52" s="30" t="s">
        <v>313</v>
      </c>
    </row>
    <row r="53" spans="2:9" ht="27.6" x14ac:dyDescent="0.3">
      <c r="B53" s="2" t="s">
        <v>314</v>
      </c>
      <c r="C53" s="2" t="s">
        <v>315</v>
      </c>
      <c r="D53" s="2" t="s">
        <v>316</v>
      </c>
      <c r="E53" s="2" t="s">
        <v>298</v>
      </c>
      <c r="F53" s="2" t="s">
        <v>292</v>
      </c>
      <c r="G53" s="2" t="s">
        <v>293</v>
      </c>
      <c r="H53" s="2" t="s">
        <v>317</v>
      </c>
      <c r="I53" s="2" t="s">
        <v>318</v>
      </c>
    </row>
    <row r="54" spans="2:9" x14ac:dyDescent="0.3">
      <c r="B54" s="51" t="s">
        <v>319</v>
      </c>
      <c r="C54" s="69">
        <f>'CRT220'!$B$7+0</f>
        <v>46266</v>
      </c>
      <c r="D54" s="69">
        <f>'CRT220'!$B$7+6</f>
        <v>46272</v>
      </c>
      <c r="E54" s="75">
        <f>COUNTIFS('MAINTENANCE LOG'!$H$8:$H$107,"&gt;="&amp;$C54,'MAINTENANCE LOG'!$H$8:$H$107,"&lt;="&amp;$D54,'MAINTENANCE LOG'!$Z$8:$Z$107,"Completed")</f>
        <v>0</v>
      </c>
      <c r="F54" s="36">
        <f>SUMIFS('MAINTENANCE LOG'!$R$8:$R$107,'MAINTENANCE LOG'!$H$8:$H$107,"&gt;="&amp;$C54,'MAINTENANCE LOG'!$H$8:$H$107,"&lt;="&amp;$D54,'MAINTENANCE LOG'!$Z$8:$Z$107,"Completed")</f>
        <v>0</v>
      </c>
      <c r="G54" s="36">
        <f>IFERROR($F54/$E54,0)</f>
        <v>0</v>
      </c>
      <c r="H54" s="75">
        <f>COUNTIFS('MAINTENANCE LOG'!$H$8:$H$107,"&gt;="&amp;$C54,'MAINTENANCE LOG'!$H$8:$H$107,"&lt;="&amp;$D54,'MAINTENANCE LOG'!$U$8:$U$107,"MET")</f>
        <v>0</v>
      </c>
      <c r="I54" s="75">
        <f>COUNTIFS('MAINTENANCE LOG'!$H$8:$H$107,"&gt;="&amp;$C54,'MAINTENANCE LOG'!$H$8:$H$107,"&lt;="&amp;$D54,'MAINTENANCE LOG'!$U$8:$U$107,"MISSED")+COUNTIFS('MAINTENANCE LOG'!$H$8:$H$107,"&gt;="&amp;$C54,'MAINTENANCE LOG'!$H$8:$H$107,"&lt;="&amp;$D54,'MAINTENANCE LOG'!$U$8:$U$107,"OVERDUE")</f>
        <v>0</v>
      </c>
    </row>
    <row r="55" spans="2:9" x14ac:dyDescent="0.3">
      <c r="B55" s="51" t="s">
        <v>320</v>
      </c>
      <c r="C55" s="69">
        <f>'CRT220'!$B$7+7</f>
        <v>46273</v>
      </c>
      <c r="D55" s="69">
        <f>'CRT220'!$B$7+13</f>
        <v>46279</v>
      </c>
      <c r="E55" s="75">
        <f>COUNTIFS('MAINTENANCE LOG'!$H$8:$H$107,"&gt;="&amp;$C55,'MAINTENANCE LOG'!$H$8:$H$107,"&lt;="&amp;$D55,'MAINTENANCE LOG'!$Z$8:$Z$107,"Completed")</f>
        <v>0</v>
      </c>
      <c r="F55" s="36">
        <f>SUMIFS('MAINTENANCE LOG'!$R$8:$R$107,'MAINTENANCE LOG'!$H$8:$H$107,"&gt;="&amp;$C55,'MAINTENANCE LOG'!$H$8:$H$107,"&lt;="&amp;$D55,'MAINTENANCE LOG'!$Z$8:$Z$107,"Completed")</f>
        <v>0</v>
      </c>
      <c r="G55" s="36">
        <f>IFERROR($F55/$E55,0)</f>
        <v>0</v>
      </c>
      <c r="H55" s="75">
        <f>COUNTIFS('MAINTENANCE LOG'!$H$8:$H$107,"&gt;="&amp;$C55,'MAINTENANCE LOG'!$H$8:$H$107,"&lt;="&amp;$D55,'MAINTENANCE LOG'!$U$8:$U$107,"MET")</f>
        <v>0</v>
      </c>
      <c r="I55" s="75">
        <f>COUNTIFS('MAINTENANCE LOG'!$H$8:$H$107,"&gt;="&amp;$C55,'MAINTENANCE LOG'!$H$8:$H$107,"&lt;="&amp;$D55,'MAINTENANCE LOG'!$U$8:$U$107,"MISSED")+COUNTIFS('MAINTENANCE LOG'!$H$8:$H$107,"&gt;="&amp;$C55,'MAINTENANCE LOG'!$H$8:$H$107,"&lt;="&amp;$D55,'MAINTENANCE LOG'!$U$8:$U$107,"OVERDUE")</f>
        <v>0</v>
      </c>
    </row>
    <row r="56" spans="2:9" x14ac:dyDescent="0.3">
      <c r="B56" s="51" t="s">
        <v>321</v>
      </c>
      <c r="C56" s="69">
        <f>'CRT220'!$B$7+14</f>
        <v>46280</v>
      </c>
      <c r="D56" s="69">
        <f>'CRT220'!$B$7+20</f>
        <v>46286</v>
      </c>
      <c r="E56" s="75">
        <f>COUNTIFS('MAINTENANCE LOG'!$H$8:$H$107,"&gt;="&amp;$C56,'MAINTENANCE LOG'!$H$8:$H$107,"&lt;="&amp;$D56,'MAINTENANCE LOG'!$Z$8:$Z$107,"Completed")</f>
        <v>0</v>
      </c>
      <c r="F56" s="36">
        <f>SUMIFS('MAINTENANCE LOG'!$R$8:$R$107,'MAINTENANCE LOG'!$H$8:$H$107,"&gt;="&amp;$C56,'MAINTENANCE LOG'!$H$8:$H$107,"&lt;="&amp;$D56,'MAINTENANCE LOG'!$Z$8:$Z$107,"Completed")</f>
        <v>0</v>
      </c>
      <c r="G56" s="36">
        <f>IFERROR($F56/$E56,0)</f>
        <v>0</v>
      </c>
      <c r="H56" s="75">
        <f ca="1">COUNTIFS('MAINTENANCE LOG'!$H$8:$H$107,"&gt;="&amp;$C56,'MAINTENANCE LOG'!$H$8:$H$107,"&lt;="&amp;$D56,'MAINTENANCE LOG'!$U$8:$U$107,"MET")</f>
        <v>1</v>
      </c>
      <c r="I56" s="75">
        <f ca="1">COUNTIFS('MAINTENANCE LOG'!$H$8:$H$107,"&gt;="&amp;$C56,'MAINTENANCE LOG'!$H$8:$H$107,"&lt;="&amp;$D56,'MAINTENANCE LOG'!$U$8:$U$107,"MISSED")+COUNTIFS('MAINTENANCE LOG'!$H$8:$H$107,"&gt;="&amp;$C56,'MAINTENANCE LOG'!$H$8:$H$107,"&lt;="&amp;$D56,'MAINTENANCE LOG'!$U$8:$U$107,"OVERDUE")</f>
        <v>0</v>
      </c>
    </row>
    <row r="57" spans="2:9" x14ac:dyDescent="0.3">
      <c r="B57" s="51" t="s">
        <v>322</v>
      </c>
      <c r="C57" s="69">
        <f>'CRT220'!$B$7+21</f>
        <v>46287</v>
      </c>
      <c r="D57" s="69">
        <f>'CRT220'!$B$7+27</f>
        <v>46293</v>
      </c>
      <c r="E57" s="75">
        <f>COUNTIFS('MAINTENANCE LOG'!$H$8:$H$107,"&gt;="&amp;$C57,'MAINTENANCE LOG'!$H$8:$H$107,"&lt;="&amp;$D57,'MAINTENANCE LOG'!$Z$8:$Z$107,"Completed")</f>
        <v>0</v>
      </c>
      <c r="F57" s="36">
        <f>SUMIFS('MAINTENANCE LOG'!$R$8:$R$107,'MAINTENANCE LOG'!$H$8:$H$107,"&gt;="&amp;$C57,'MAINTENANCE LOG'!$H$8:$H$107,"&lt;="&amp;$D57,'MAINTENANCE LOG'!$Z$8:$Z$107,"Completed")</f>
        <v>0</v>
      </c>
      <c r="G57" s="36">
        <f>IFERROR($F57/$E57,0)</f>
        <v>0</v>
      </c>
      <c r="H57" s="75">
        <f>COUNTIFS('MAINTENANCE LOG'!$H$8:$H$107,"&gt;="&amp;$C57,'MAINTENANCE LOG'!$H$8:$H$107,"&lt;="&amp;$D57,'MAINTENANCE LOG'!$U$8:$U$107,"MET")</f>
        <v>0</v>
      </c>
      <c r="I57" s="75">
        <f>COUNTIFS('MAINTENANCE LOG'!$H$8:$H$107,"&gt;="&amp;$C57,'MAINTENANCE LOG'!$H$8:$H$107,"&lt;="&amp;$D57,'MAINTENANCE LOG'!$U$8:$U$107,"MISSED")+COUNTIFS('MAINTENANCE LOG'!$H$8:$H$107,"&gt;="&amp;$C57,'MAINTENANCE LOG'!$H$8:$H$107,"&lt;="&amp;$D57,'MAINTENANCE LOG'!$U$8:$U$107,"OVERDUE")</f>
        <v>0</v>
      </c>
    </row>
    <row r="58" spans="2:9" x14ac:dyDescent="0.3">
      <c r="B58" s="51" t="s">
        <v>323</v>
      </c>
      <c r="C58" s="69">
        <f>'CRT220'!$B$7+28</f>
        <v>46294</v>
      </c>
      <c r="D58" s="69">
        <f>'CRT220'!$B$7+34</f>
        <v>46300</v>
      </c>
      <c r="E58" s="75">
        <f>COUNTIFS('MAINTENANCE LOG'!$H$8:$H$107,"&gt;="&amp;$C58,'MAINTENANCE LOG'!$H$8:$H$107,"&lt;="&amp;$D58,'MAINTENANCE LOG'!$Z$8:$Z$107,"Completed")</f>
        <v>0</v>
      </c>
      <c r="F58" s="36">
        <f>SUMIFS('MAINTENANCE LOG'!$R$8:$R$107,'MAINTENANCE LOG'!$H$8:$H$107,"&gt;="&amp;$C58,'MAINTENANCE LOG'!$H$8:$H$107,"&lt;="&amp;$D58,'MAINTENANCE LOG'!$Z$8:$Z$107,"Completed")</f>
        <v>0</v>
      </c>
      <c r="G58" s="36">
        <f>IFERROR($F58/$E58,0)</f>
        <v>0</v>
      </c>
      <c r="H58" s="75">
        <f>COUNTIFS('MAINTENANCE LOG'!$H$8:$H$107,"&gt;="&amp;$C58,'MAINTENANCE LOG'!$H$8:$H$107,"&lt;="&amp;$D58,'MAINTENANCE LOG'!$U$8:$U$107,"MET")</f>
        <v>0</v>
      </c>
      <c r="I58" s="75">
        <f>COUNTIFS('MAINTENANCE LOG'!$H$8:$H$107,"&gt;="&amp;$C58,'MAINTENANCE LOG'!$H$8:$H$107,"&lt;="&amp;$D58,'MAINTENANCE LOG'!$U$8:$U$107,"MISSED")+COUNTIFS('MAINTENANCE LOG'!$H$8:$H$107,"&gt;="&amp;$C58,'MAINTENANCE LOG'!$H$8:$H$107,"&lt;="&amp;$D58,'MAINTENANCE LOG'!$U$8:$U$107,"OVERDUE")</f>
        <v>0</v>
      </c>
    </row>
    <row r="59" spans="2:9" x14ac:dyDescent="0.3">
      <c r="B59" s="31" t="s">
        <v>324</v>
      </c>
    </row>
    <row r="61" spans="2:9" x14ac:dyDescent="0.3">
      <c r="B61" s="30" t="s">
        <v>325</v>
      </c>
    </row>
    <row r="62" spans="2:9" x14ac:dyDescent="0.3">
      <c r="B62" s="48" t="s">
        <v>326</v>
      </c>
      <c r="C62" s="64">
        <f>COUNTA('MAINTENANCE LOG'!$B$8:$B$107)</f>
        <v>1</v>
      </c>
    </row>
    <row r="63" spans="2:9" x14ac:dyDescent="0.3">
      <c r="B63" s="48" t="s">
        <v>26</v>
      </c>
      <c r="C63" s="64">
        <f>COUNTIFS('MAINTENANCE LOG'!$E$8:$E$107,"Breakdown",'MAINTENANCE LOG'!$Z$8:$Z$107,"Open")+COUNTIFS('MAINTENANCE LOG'!$E$8:$E$107,"Breakdown",'MAINTENANCE LOG'!$Z$8:$Z$107,"In Progress")</f>
        <v>1</v>
      </c>
    </row>
    <row r="64" spans="2:9" x14ac:dyDescent="0.3">
      <c r="B64" s="48" t="s">
        <v>27</v>
      </c>
      <c r="C64" s="64">
        <f>COUNTIFS('MAINTENANCE LOG'!$Z$8:$Z$107,"Completed")</f>
        <v>0</v>
      </c>
    </row>
    <row r="65" spans="2:4" x14ac:dyDescent="0.3">
      <c r="B65" s="48" t="s">
        <v>327</v>
      </c>
      <c r="C65" s="64">
        <f>COUNTIFS('MAINTENANCE LOG'!$E$8:$E$107,"Planned Maintenance",'MAINTENANCE LOG'!$Z$8:$Z$107,"Completed")</f>
        <v>0</v>
      </c>
    </row>
    <row r="66" spans="2:4" x14ac:dyDescent="0.3">
      <c r="B66" s="48" t="s">
        <v>328</v>
      </c>
      <c r="C66" s="65">
        <f>SUM('MAINTENANCE LOG'!$O$8:$O$107)</f>
        <v>6</v>
      </c>
    </row>
    <row r="67" spans="2:4" x14ac:dyDescent="0.3">
      <c r="B67" s="48" t="s">
        <v>329</v>
      </c>
      <c r="C67" s="65">
        <f>SUM('MAINTENANCE LOG'!$R$8:$R$107)</f>
        <v>132</v>
      </c>
    </row>
    <row r="68" spans="2:4" x14ac:dyDescent="0.3">
      <c r="B68" s="48" t="s">
        <v>330</v>
      </c>
      <c r="C68" s="65">
        <f>IFERROR(($C$67-$C$66)/$C$64,0)</f>
        <v>0</v>
      </c>
    </row>
    <row r="69" spans="2:4" x14ac:dyDescent="0.3">
      <c r="B69" s="48" t="s">
        <v>331</v>
      </c>
      <c r="C69" s="65">
        <f>IFERROR(SUMIFS('MAINTENANCE LOG'!$R$8:$R$107,'MAINTENANCE LOG'!$Z$8:$Z$107,"Completed")/COUNTIFS('MAINTENANCE LOG'!$Z$8:$Z$107,"Completed"),0)</f>
        <v>0</v>
      </c>
    </row>
    <row r="70" spans="2:4" x14ac:dyDescent="0.3">
      <c r="B70" s="48" t="s">
        <v>37</v>
      </c>
      <c r="C70" s="64">
        <f ca="1">COUNTIF('MAINTENANCE LOG'!$U$8:$U$107,"MET")</f>
        <v>1</v>
      </c>
    </row>
    <row r="71" spans="2:4" x14ac:dyDescent="0.3">
      <c r="B71" s="48" t="s">
        <v>38</v>
      </c>
      <c r="C71" s="64">
        <f ca="1">COUNTIF('MAINTENANCE LOG'!$U$8:$U$107,"MISSED")+COUNTIF('MAINTENANCE LOG'!$U$8:$U$107,"OVERDUE")</f>
        <v>0</v>
      </c>
    </row>
    <row r="72" spans="2:4" x14ac:dyDescent="0.3">
      <c r="B72" s="48" t="s">
        <v>36</v>
      </c>
      <c r="C72" s="78">
        <f ca="1">IFERROR($C$70/($C$70+$C$71),0)</f>
        <v>1</v>
      </c>
    </row>
    <row r="73" spans="2:4" x14ac:dyDescent="0.3">
      <c r="B73" s="48" t="s">
        <v>39</v>
      </c>
      <c r="C73" s="64">
        <f>COUNTIF('MAINTENANCE LOG'!$AA$8:$AA$107,"REPEAT")</f>
        <v>0</v>
      </c>
    </row>
    <row r="74" spans="2:4" x14ac:dyDescent="0.3">
      <c r="B74" s="48" t="s">
        <v>332</v>
      </c>
      <c r="C74" s="64">
        <f>COUNTIF('MAINTENANCE LOG'!$X$8:$X$107,"Y")</f>
        <v>0</v>
      </c>
    </row>
    <row r="77" spans="2:4" x14ac:dyDescent="0.3">
      <c r="B77" s="30" t="s">
        <v>66</v>
      </c>
    </row>
    <row r="78" spans="2:4" x14ac:dyDescent="0.3">
      <c r="B78" s="2" t="s">
        <v>333</v>
      </c>
      <c r="C78" s="2" t="s">
        <v>67</v>
      </c>
      <c r="D78" s="2" t="s">
        <v>68</v>
      </c>
    </row>
    <row r="79" spans="2:4" x14ac:dyDescent="0.3">
      <c r="B79" s="51" t="s">
        <v>13</v>
      </c>
      <c r="C79" s="37">
        <f>MIN(1,MAX(0,$H$11))</f>
        <v>0</v>
      </c>
      <c r="D79" s="37">
        <f>1-$C79</f>
        <v>1</v>
      </c>
    </row>
    <row r="80" spans="2:4" x14ac:dyDescent="0.3">
      <c r="B80" s="51" t="s">
        <v>36</v>
      </c>
      <c r="C80" s="37">
        <f ca="1">MIN(1,MAX(0,$C$72))</f>
        <v>1</v>
      </c>
      <c r="D80" s="37">
        <f ca="1">1-$C80</f>
        <v>0</v>
      </c>
    </row>
    <row r="81" spans="2:4" x14ac:dyDescent="0.3">
      <c r="B81" s="51" t="s">
        <v>334</v>
      </c>
      <c r="C81" s="37">
        <f>MIN(1,MAX(0,IFERROR(AVAILABILITY!$J$22,0)))</f>
        <v>0</v>
      </c>
      <c r="D81" s="37">
        <f>1-$C81</f>
        <v>1</v>
      </c>
    </row>
  </sheetData>
  <conditionalFormatting sqref="T7:T10">
    <cfRule type="cellIs" dxfId="48" priority="2" operator="equal">
      <formula>"GREEN"</formula>
    </cfRule>
    <cfRule type="cellIs" dxfId="47" priority="3" operator="equal">
      <formula>"AMBER"</formula>
    </cfRule>
    <cfRule type="cellIs" dxfId="46" priority="4" operator="equal">
      <formula>"RED"</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24"/>
  <sheetViews>
    <sheetView showGridLines="0" zoomScaleNormal="100" workbookViewId="0">
      <selection activeCell="B10" sqref="B10"/>
    </sheetView>
  </sheetViews>
  <sheetFormatPr defaultColWidth="8.6640625" defaultRowHeight="14.4" x14ac:dyDescent="0.3"/>
  <cols>
    <col min="2" max="2" width="11" customWidth="1"/>
    <col min="3" max="3" width="17" customWidth="1"/>
    <col min="4" max="4" width="12" customWidth="1"/>
    <col min="5" max="8" width="10" customWidth="1"/>
    <col min="9" max="9" width="11" customWidth="1"/>
    <col min="10" max="10" width="12" customWidth="1"/>
    <col min="11" max="11" width="11" customWidth="1"/>
    <col min="12" max="12" width="9" customWidth="1"/>
    <col min="13" max="13" width="11" customWidth="1"/>
    <col min="14" max="14" width="9" customWidth="1"/>
  </cols>
  <sheetData>
    <row r="2" spans="2:14" ht="18" customHeight="1" x14ac:dyDescent="0.35">
      <c r="B2" s="13" t="s">
        <v>75</v>
      </c>
    </row>
    <row r="3" spans="2:14" ht="14.25" customHeight="1" x14ac:dyDescent="0.3">
      <c r="B3" s="14" t="s">
        <v>76</v>
      </c>
    </row>
    <row r="4" spans="2:14" ht="14.25" customHeight="1" x14ac:dyDescent="0.3">
      <c r="B4" s="15" t="s">
        <v>77</v>
      </c>
    </row>
    <row r="6" spans="2:14" ht="33.75" customHeight="1" x14ac:dyDescent="0.3">
      <c r="B6" s="16" t="s">
        <v>45</v>
      </c>
      <c r="C6" s="16" t="s">
        <v>46</v>
      </c>
      <c r="D6" s="16" t="s">
        <v>78</v>
      </c>
      <c r="E6" s="16" t="s">
        <v>79</v>
      </c>
      <c r="F6" s="16" t="s">
        <v>80</v>
      </c>
      <c r="G6" s="16" t="s">
        <v>53</v>
      </c>
      <c r="H6" s="16" t="s">
        <v>81</v>
      </c>
    </row>
    <row r="7" spans="2:14" ht="14.25" customHeight="1" x14ac:dyDescent="0.3">
      <c r="B7" s="17" t="s">
        <v>57</v>
      </c>
      <c r="C7" s="18" t="s">
        <v>58</v>
      </c>
      <c r="D7" s="19">
        <f>'SETUP &amp; TARGETS'!$C$10*COUNT('CRT220'!$O$7:$O$37)</f>
        <v>270</v>
      </c>
      <c r="E7" s="19">
        <f>'CRT220'!I38</f>
        <v>270</v>
      </c>
      <c r="F7" s="20">
        <f>'SETUP &amp; TARGETS'!$C12</f>
        <v>0.85</v>
      </c>
      <c r="G7" s="21">
        <f t="shared" ref="G7:G12" si="0">IFERROR((D7-E7)/D7,0)</f>
        <v>0</v>
      </c>
      <c r="H7" s="21">
        <f t="shared" ref="H7:H12" si="1">G7-F7</f>
        <v>-0.85</v>
      </c>
    </row>
    <row r="8" spans="2:14" ht="14.25" customHeight="1" x14ac:dyDescent="0.3">
      <c r="B8" s="17" t="s">
        <v>59</v>
      </c>
      <c r="C8" s="18" t="s">
        <v>58</v>
      </c>
      <c r="D8" s="19">
        <f>'SETUP &amp; TARGETS'!$C$10*COUNT('CRT221'!$O$7:$O$37)</f>
        <v>270</v>
      </c>
      <c r="E8" s="19">
        <f>'CRT221'!I38</f>
        <v>77</v>
      </c>
      <c r="F8" s="20">
        <f>'SETUP &amp; TARGETS'!$C12</f>
        <v>0.85</v>
      </c>
      <c r="G8" s="21">
        <f t="shared" si="0"/>
        <v>0.71481481481481479</v>
      </c>
      <c r="H8" s="21">
        <f t="shared" si="1"/>
        <v>-0.13518518518518519</v>
      </c>
    </row>
    <row r="9" spans="2:14" ht="14.25" customHeight="1" x14ac:dyDescent="0.3">
      <c r="B9" s="17" t="s">
        <v>60</v>
      </c>
      <c r="C9" s="18" t="s">
        <v>58</v>
      </c>
      <c r="D9" s="19">
        <f>'SETUP &amp; TARGETS'!$C$10*COUNT('CRT222'!$O$7:$O$37)</f>
        <v>270</v>
      </c>
      <c r="E9" s="19">
        <f>'CRT222'!I38</f>
        <v>145</v>
      </c>
      <c r="F9" s="20">
        <f>'SETUP &amp; TARGETS'!$C12</f>
        <v>0.85</v>
      </c>
      <c r="G9" s="21">
        <f t="shared" si="0"/>
        <v>0.46296296296296297</v>
      </c>
      <c r="H9" s="21">
        <f t="shared" si="1"/>
        <v>-0.38703703703703701</v>
      </c>
    </row>
    <row r="10" spans="2:14" ht="14.25" customHeight="1" x14ac:dyDescent="0.3">
      <c r="B10" s="17" t="s">
        <v>61</v>
      </c>
      <c r="C10" s="18" t="s">
        <v>62</v>
      </c>
      <c r="D10" s="19">
        <f>'SETUP &amp; TARGETS'!$C$10*COUNT('CRT224'!$O$7:$O$37)</f>
        <v>270</v>
      </c>
      <c r="E10" s="19">
        <f>'CRT224'!I38</f>
        <v>11</v>
      </c>
      <c r="F10" s="20">
        <f>'SETUP &amp; TARGETS'!$C12</f>
        <v>0.85</v>
      </c>
      <c r="G10" s="21">
        <f t="shared" si="0"/>
        <v>0.95925925925925926</v>
      </c>
      <c r="H10" s="21">
        <f t="shared" si="1"/>
        <v>0.10925925925925928</v>
      </c>
    </row>
    <row r="11" spans="2:14" ht="14.25" customHeight="1" x14ac:dyDescent="0.3">
      <c r="B11" s="17" t="s">
        <v>63</v>
      </c>
      <c r="C11" s="18" t="s">
        <v>64</v>
      </c>
      <c r="D11" s="19">
        <f>'SETUP &amp; TARGETS'!$C$10*COUNT('CRT225'!$O$7:$O$37)</f>
        <v>270</v>
      </c>
      <c r="E11" s="19">
        <f>'CRT225'!I38</f>
        <v>0</v>
      </c>
      <c r="F11" s="20">
        <f>'SETUP &amp; TARGETS'!$C12</f>
        <v>0.85</v>
      </c>
      <c r="G11" s="21">
        <f t="shared" si="0"/>
        <v>1</v>
      </c>
      <c r="H11" s="21">
        <f t="shared" si="1"/>
        <v>0.15000000000000002</v>
      </c>
    </row>
    <row r="12" spans="2:14" ht="14.25" customHeight="1" x14ac:dyDescent="0.3">
      <c r="B12" s="23" t="s">
        <v>82</v>
      </c>
      <c r="C12" s="23"/>
      <c r="D12" s="24">
        <f>SUM(D7:D11)</f>
        <v>1350</v>
      </c>
      <c r="E12" s="24">
        <f>SUM(E7:E11)</f>
        <v>503</v>
      </c>
      <c r="F12" s="25">
        <f>'SETUP &amp; TARGETS'!$C12</f>
        <v>0.85</v>
      </c>
      <c r="G12" s="26">
        <f t="shared" si="0"/>
        <v>0.62740740740740741</v>
      </c>
      <c r="H12" s="26">
        <f t="shared" si="1"/>
        <v>-0.22259259259259256</v>
      </c>
    </row>
    <row r="14" spans="2:14" x14ac:dyDescent="0.3">
      <c r="B14" s="30" t="s">
        <v>83</v>
      </c>
    </row>
    <row r="15" spans="2:14" x14ac:dyDescent="0.3">
      <c r="B15" s="31" t="s">
        <v>84</v>
      </c>
    </row>
    <row r="16" spans="2:14" ht="30" customHeight="1" x14ac:dyDescent="0.3">
      <c r="B16" s="2" t="s">
        <v>45</v>
      </c>
      <c r="C16" s="2" t="s">
        <v>85</v>
      </c>
      <c r="D16" s="2" t="s">
        <v>56</v>
      </c>
      <c r="E16" s="2" t="s">
        <v>86</v>
      </c>
      <c r="F16" s="2" t="s">
        <v>87</v>
      </c>
      <c r="G16" s="2" t="s">
        <v>88</v>
      </c>
      <c r="H16" s="2" t="s">
        <v>89</v>
      </c>
      <c r="I16" s="2" t="s">
        <v>90</v>
      </c>
      <c r="J16" s="2" t="s">
        <v>91</v>
      </c>
      <c r="K16" s="2" t="s">
        <v>92</v>
      </c>
      <c r="L16" s="2" t="s">
        <v>93</v>
      </c>
      <c r="M16" s="2" t="s">
        <v>94</v>
      </c>
      <c r="N16" s="2" t="s">
        <v>95</v>
      </c>
    </row>
    <row r="17" spans="2:14" x14ac:dyDescent="0.3">
      <c r="B17" s="32" t="str">
        <f>'EQUIPMENT REGISTER'!$B$12</f>
        <v>RCPM008</v>
      </c>
      <c r="C17" s="33" t="str">
        <f>'EQUIPMENT REGISTER'!$C$12</f>
        <v>Grader</v>
      </c>
      <c r="D17" s="34" t="str">
        <f>'EQUIPMENT REGISTER'!$F$12</f>
        <v>Active</v>
      </c>
      <c r="E17" s="35"/>
      <c r="F17" s="36">
        <f>SUMIFS('MAINTENANCE LOG'!$R$8:$R$107,'MAINTENANCE LOG'!$C$8:$C$107,$B17,'MAINTENANCE LOG'!$E$8:$E$107,"Breakdown")</f>
        <v>0</v>
      </c>
      <c r="G17" s="36">
        <f>SUMIFS('MAINTENANCE LOG'!$R$8:$R$107,'MAINTENANCE LOG'!$C$8:$C$107,$B17,'MAINTENANCE LOG'!$E$8:$E$107,"Planned Maintenance")+SUMIFS('MAINTENANCE LOG'!$R$8:$R$107,'MAINTENANCE LOG'!$C$8:$C$107,$B17,'MAINTENANCE LOG'!$E$8:$E$107,"Service")</f>
        <v>0</v>
      </c>
      <c r="H17" s="35"/>
      <c r="I17" s="36">
        <f>MAX(0,N($E17)-N($F17)-N($G17)-N($H17))</f>
        <v>0</v>
      </c>
      <c r="J17" s="37">
        <f t="shared" ref="J17:J22" si="2">IFERROR($I17/$E17,0)</f>
        <v>0</v>
      </c>
      <c r="K17" s="35"/>
      <c r="L17" s="36">
        <f>MAX(0,N($I17)-N($K17))</f>
        <v>0</v>
      </c>
      <c r="M17" s="37">
        <f t="shared" ref="M17:M22" si="3">IFERROR($K17/$I17,0)</f>
        <v>0</v>
      </c>
      <c r="N17" s="38" t="str">
        <f>IF(N($E17)=0,"",IF($J17&gt;='SETUP &amp; TARGETS'!$C$12,"GREEN",IF($J17&gt;='SETUP &amp; TARGETS'!$C$13,"AMBER","RED")))</f>
        <v/>
      </c>
    </row>
    <row r="18" spans="2:14" x14ac:dyDescent="0.3">
      <c r="B18" s="32" t="str">
        <f>'EQUIPMENT REGISTER'!$B$13</f>
        <v>RCPM009</v>
      </c>
      <c r="C18" s="33" t="str">
        <f>'EQUIPMENT REGISTER'!$C$13</f>
        <v>Compactor</v>
      </c>
      <c r="D18" s="34" t="str">
        <f>'EQUIPMENT REGISTER'!$F$13</f>
        <v>Active</v>
      </c>
      <c r="E18" s="35"/>
      <c r="F18" s="36">
        <f>SUMIFS('MAINTENANCE LOG'!$R$8:$R$107,'MAINTENANCE LOG'!$C$8:$C$107,$B18,'MAINTENANCE LOG'!$E$8:$E$107,"Breakdown")</f>
        <v>0</v>
      </c>
      <c r="G18" s="36">
        <f>SUMIFS('MAINTENANCE LOG'!$R$8:$R$107,'MAINTENANCE LOG'!$C$8:$C$107,$B18,'MAINTENANCE LOG'!$E$8:$E$107,"Planned Maintenance")+SUMIFS('MAINTENANCE LOG'!$R$8:$R$107,'MAINTENANCE LOG'!$C$8:$C$107,$B18,'MAINTENANCE LOG'!$E$8:$E$107,"Service")</f>
        <v>0</v>
      </c>
      <c r="H18" s="35"/>
      <c r="I18" s="36">
        <f>MAX(0,N($E18)-N($F18)-N($G18)-N($H18))</f>
        <v>0</v>
      </c>
      <c r="J18" s="37">
        <f t="shared" si="2"/>
        <v>0</v>
      </c>
      <c r="K18" s="35"/>
      <c r="L18" s="36">
        <f>MAX(0,N($I18)-N($K18))</f>
        <v>0</v>
      </c>
      <c r="M18" s="37">
        <f t="shared" si="3"/>
        <v>0</v>
      </c>
      <c r="N18" s="38" t="str">
        <f>IF(N($E18)=0,"",IF($J18&gt;='SETUP &amp; TARGETS'!$C$12,"GREEN",IF($J18&gt;='SETUP &amp; TARGETS'!$C$13,"AMBER","RED")))</f>
        <v/>
      </c>
    </row>
    <row r="19" spans="2:14" x14ac:dyDescent="0.3">
      <c r="B19" s="32" t="str">
        <f>'EQUIPMENT REGISTER'!$B$14</f>
        <v>RCPM010</v>
      </c>
      <c r="C19" s="33" t="str">
        <f>'EQUIPMENT REGISTER'!$C$14</f>
        <v>TLB</v>
      </c>
      <c r="D19" s="34" t="str">
        <f>'EQUIPMENT REGISTER'!$F$14</f>
        <v>Inactive</v>
      </c>
      <c r="E19" s="35"/>
      <c r="F19" s="36">
        <f>SUMIFS('MAINTENANCE LOG'!$R$8:$R$107,'MAINTENANCE LOG'!$C$8:$C$107,$B19,'MAINTENANCE LOG'!$E$8:$E$107,"Breakdown")</f>
        <v>0</v>
      </c>
      <c r="G19" s="36">
        <f>SUMIFS('MAINTENANCE LOG'!$R$8:$R$107,'MAINTENANCE LOG'!$C$8:$C$107,$B19,'MAINTENANCE LOG'!$E$8:$E$107,"Planned Maintenance")+SUMIFS('MAINTENANCE LOG'!$R$8:$R$107,'MAINTENANCE LOG'!$C$8:$C$107,$B19,'MAINTENANCE LOG'!$E$8:$E$107,"Service")</f>
        <v>0</v>
      </c>
      <c r="H19" s="35"/>
      <c r="I19" s="36">
        <f>MAX(0,N($E19)-N($F19)-N($G19)-N($H19))</f>
        <v>0</v>
      </c>
      <c r="J19" s="37">
        <f t="shared" si="2"/>
        <v>0</v>
      </c>
      <c r="K19" s="35"/>
      <c r="L19" s="36">
        <f>MAX(0,N($I19)-N($K19))</f>
        <v>0</v>
      </c>
      <c r="M19" s="37">
        <f t="shared" si="3"/>
        <v>0</v>
      </c>
      <c r="N19" s="38" t="str">
        <f>IF(N($E19)=0,"",IF($J19&gt;='SETUP &amp; TARGETS'!$C$12,"GREEN",IF($J19&gt;='SETUP &amp; TARGETS'!$C$13,"AMBER","RED")))</f>
        <v/>
      </c>
    </row>
    <row r="20" spans="2:14" x14ac:dyDescent="0.3">
      <c r="B20" s="32" t="str">
        <f>'EQUIPMENT REGISTER'!$B$15</f>
        <v>RCPM023</v>
      </c>
      <c r="C20" s="33" t="str">
        <f>'EQUIPMENT REGISTER'!$C$15</f>
        <v>Water Bowser</v>
      </c>
      <c r="D20" s="34" t="str">
        <f>'EQUIPMENT REGISTER'!$F$15</f>
        <v>Active</v>
      </c>
      <c r="E20" s="35"/>
      <c r="F20" s="36">
        <f>SUMIFS('MAINTENANCE LOG'!$R$8:$R$107,'MAINTENANCE LOG'!$C$8:$C$107,$B20,'MAINTENANCE LOG'!$E$8:$E$107,"Breakdown")</f>
        <v>0</v>
      </c>
      <c r="G20" s="36">
        <f>SUMIFS('MAINTENANCE LOG'!$R$8:$R$107,'MAINTENANCE LOG'!$C$8:$C$107,$B20,'MAINTENANCE LOG'!$E$8:$E$107,"Planned Maintenance")+SUMIFS('MAINTENANCE LOG'!$R$8:$R$107,'MAINTENANCE LOG'!$C$8:$C$107,$B20,'MAINTENANCE LOG'!$E$8:$E$107,"Service")</f>
        <v>0</v>
      </c>
      <c r="H20" s="35"/>
      <c r="I20" s="36">
        <f>MAX(0,N($E20)-N($F20)-N($G20)-N($H20))</f>
        <v>0</v>
      </c>
      <c r="J20" s="37">
        <f t="shared" si="2"/>
        <v>0</v>
      </c>
      <c r="K20" s="35"/>
      <c r="L20" s="36">
        <f>MAX(0,N($I20)-N($K20))</f>
        <v>0</v>
      </c>
      <c r="M20" s="37">
        <f t="shared" si="3"/>
        <v>0</v>
      </c>
      <c r="N20" s="38" t="str">
        <f>IF(N($E20)=0,"",IF($J20&gt;='SETUP &amp; TARGETS'!$C$12,"GREEN",IF($J20&gt;='SETUP &amp; TARGETS'!$C$13,"AMBER","RED")))</f>
        <v/>
      </c>
    </row>
    <row r="21" spans="2:14" x14ac:dyDescent="0.3">
      <c r="B21" s="32" t="str">
        <f>'EQUIPMENT REGISTER'!$B$16</f>
        <v>RCPM024</v>
      </c>
      <c r="C21" s="33" t="str">
        <f>'EQUIPMENT REGISTER'!$C$16</f>
        <v>Water Bowser</v>
      </c>
      <c r="D21" s="34" t="str">
        <f>'EQUIPMENT REGISTER'!$F$16</f>
        <v>Inactive</v>
      </c>
      <c r="E21" s="35"/>
      <c r="F21" s="36">
        <f>SUMIFS('MAINTENANCE LOG'!$R$8:$R$107,'MAINTENANCE LOG'!$C$8:$C$107,$B21,'MAINTENANCE LOG'!$E$8:$E$107,"Breakdown")</f>
        <v>0</v>
      </c>
      <c r="G21" s="36">
        <f>SUMIFS('MAINTENANCE LOG'!$R$8:$R$107,'MAINTENANCE LOG'!$C$8:$C$107,$B21,'MAINTENANCE LOG'!$E$8:$E$107,"Planned Maintenance")+SUMIFS('MAINTENANCE LOG'!$R$8:$R$107,'MAINTENANCE LOG'!$C$8:$C$107,$B21,'MAINTENANCE LOG'!$E$8:$E$107,"Service")</f>
        <v>0</v>
      </c>
      <c r="H21" s="35"/>
      <c r="I21" s="36">
        <f>MAX(0,N($E21)-N($F21)-N($G21)-N($H21))</f>
        <v>0</v>
      </c>
      <c r="J21" s="37">
        <f t="shared" si="2"/>
        <v>0</v>
      </c>
      <c r="K21" s="35"/>
      <c r="L21" s="36">
        <f>MAX(0,N($I21)-N($K21))</f>
        <v>0</v>
      </c>
      <c r="M21" s="37">
        <f t="shared" si="3"/>
        <v>0</v>
      </c>
      <c r="N21" s="38" t="str">
        <f>IF(N($E21)=0,"",IF($J21&gt;='SETUP &amp; TARGETS'!$C$12,"GREEN",IF($J21&gt;='SETUP &amp; TARGETS'!$C$13,"AMBER","RED")))</f>
        <v/>
      </c>
    </row>
    <row r="22" spans="2:14" x14ac:dyDescent="0.3">
      <c r="B22" s="39" t="s">
        <v>96</v>
      </c>
      <c r="C22" s="40"/>
      <c r="D22" s="40"/>
      <c r="E22" s="41">
        <f>SUM(E17:E21)</f>
        <v>0</v>
      </c>
      <c r="F22" s="41">
        <f>SUM(F17:F21)</f>
        <v>0</v>
      </c>
      <c r="G22" s="41">
        <f>SUM(G17:G21)</f>
        <v>0</v>
      </c>
      <c r="H22" s="41">
        <f>SUM(H17:H21)</f>
        <v>0</v>
      </c>
      <c r="I22" s="41">
        <f>SUM(I17:I21)</f>
        <v>0</v>
      </c>
      <c r="J22" s="42">
        <f t="shared" si="2"/>
        <v>0</v>
      </c>
      <c r="K22" s="41">
        <f>SUM(K17:K21)</f>
        <v>0</v>
      </c>
      <c r="L22" s="41">
        <f>SUM(L17:L21)</f>
        <v>0</v>
      </c>
      <c r="M22" s="42">
        <f t="shared" si="3"/>
        <v>0</v>
      </c>
      <c r="N22" s="43"/>
    </row>
    <row r="24" spans="2:14" x14ac:dyDescent="0.3">
      <c r="B24" s="31" t="s">
        <v>97</v>
      </c>
    </row>
  </sheetData>
  <sheetProtection sheet="1" objects="1" scenarios="1" selectLockedCells="1" selectUnlockedCells="1"/>
  <conditionalFormatting sqref="N17:N21">
    <cfRule type="cellIs" dxfId="45" priority="2" operator="equal">
      <formula>"GREEN"</formula>
    </cfRule>
    <cfRule type="cellIs" dxfId="44" priority="3" operator="equal">
      <formula>"AMBER"</formula>
    </cfRule>
    <cfRule type="cellIs" dxfId="43" priority="4" operator="equal">
      <formula>"RED"</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45"/>
  <sheetViews>
    <sheetView showGridLines="0" topLeftCell="A3" zoomScaleNormal="100" workbookViewId="0">
      <selection activeCell="C10" sqref="C10"/>
    </sheetView>
  </sheetViews>
  <sheetFormatPr defaultColWidth="8.6640625" defaultRowHeight="14.4" x14ac:dyDescent="0.3"/>
  <cols>
    <col min="2" max="2" width="76.88671875" customWidth="1"/>
    <col min="3" max="3" width="38" customWidth="1"/>
    <col min="4" max="5" width="42" customWidth="1"/>
    <col min="6" max="6" width="40" customWidth="1"/>
    <col min="7" max="7" width="12" customWidth="1"/>
  </cols>
  <sheetData>
    <row r="2" spans="2:5" ht="18" customHeight="1" x14ac:dyDescent="0.35">
      <c r="B2" s="13" t="s">
        <v>98</v>
      </c>
    </row>
    <row r="3" spans="2:5" ht="14.25" customHeight="1" x14ac:dyDescent="0.3">
      <c r="B3" s="14" t="s">
        <v>99</v>
      </c>
    </row>
    <row r="4" spans="2:5" ht="14.25" customHeight="1" x14ac:dyDescent="0.3">
      <c r="B4" s="15" t="s">
        <v>100</v>
      </c>
    </row>
    <row r="6" spans="2:5" ht="14.25" customHeight="1" x14ac:dyDescent="0.3">
      <c r="B6" s="44" t="s">
        <v>101</v>
      </c>
    </row>
    <row r="7" spans="2:5" ht="14.25" customHeight="1" x14ac:dyDescent="0.3">
      <c r="B7" s="17" t="s">
        <v>102</v>
      </c>
      <c r="C7" s="45">
        <v>18</v>
      </c>
      <c r="E7" s="15" t="s">
        <v>103</v>
      </c>
    </row>
    <row r="8" spans="2:5" ht="14.25" customHeight="1" x14ac:dyDescent="0.3">
      <c r="B8" s="17" t="s">
        <v>104</v>
      </c>
      <c r="C8" s="45">
        <v>31</v>
      </c>
      <c r="E8" s="15" t="s">
        <v>105</v>
      </c>
    </row>
    <row r="9" spans="2:5" ht="14.25" customHeight="1" x14ac:dyDescent="0.3">
      <c r="B9" s="17" t="s">
        <v>106</v>
      </c>
      <c r="C9" s="46">
        <f>C7*C8</f>
        <v>558</v>
      </c>
      <c r="E9" s="15" t="s">
        <v>107</v>
      </c>
    </row>
    <row r="10" spans="2:5" ht="14.25" customHeight="1" x14ac:dyDescent="0.3">
      <c r="B10" s="17" t="s">
        <v>108</v>
      </c>
      <c r="C10" s="45">
        <v>18</v>
      </c>
      <c r="E10" s="15" t="s">
        <v>109</v>
      </c>
    </row>
    <row r="11" spans="2:5" ht="14.25" customHeight="1" x14ac:dyDescent="0.3">
      <c r="B11" s="17" t="s">
        <v>110</v>
      </c>
      <c r="C11" s="47">
        <v>0.8</v>
      </c>
      <c r="E11" s="15" t="s">
        <v>111</v>
      </c>
    </row>
    <row r="12" spans="2:5" ht="14.25" customHeight="1" x14ac:dyDescent="0.3">
      <c r="B12" s="17" t="s">
        <v>112</v>
      </c>
      <c r="C12" s="47">
        <v>0.85</v>
      </c>
      <c r="E12" s="15" t="s">
        <v>113</v>
      </c>
    </row>
    <row r="13" spans="2:5" ht="14.25" customHeight="1" x14ac:dyDescent="0.3">
      <c r="B13" s="17" t="s">
        <v>114</v>
      </c>
      <c r="C13" s="47">
        <v>0.7</v>
      </c>
      <c r="E13" s="15" t="s">
        <v>115</v>
      </c>
    </row>
    <row r="14" spans="2:5" ht="14.25" customHeight="1" x14ac:dyDescent="0.3">
      <c r="B14" s="17" t="s">
        <v>116</v>
      </c>
      <c r="C14" s="45">
        <v>31</v>
      </c>
      <c r="E14" s="15" t="s">
        <v>117</v>
      </c>
    </row>
    <row r="17" spans="2:5" ht="14.25" customHeight="1" x14ac:dyDescent="0.3">
      <c r="B17" s="44" t="s">
        <v>118</v>
      </c>
    </row>
    <row r="18" spans="2:5" ht="24" customHeight="1" x14ac:dyDescent="0.3">
      <c r="B18" s="16" t="s">
        <v>119</v>
      </c>
      <c r="C18" s="16" t="s">
        <v>46</v>
      </c>
      <c r="D18" s="16" t="s">
        <v>47</v>
      </c>
      <c r="E18" s="16" t="s">
        <v>56</v>
      </c>
    </row>
    <row r="19" spans="2:5" ht="14.25" customHeight="1" x14ac:dyDescent="0.3">
      <c r="B19" s="17" t="s">
        <v>57</v>
      </c>
      <c r="C19" s="18" t="s">
        <v>58</v>
      </c>
      <c r="D19" s="46">
        <f>'SETUP &amp; TARGETS'!$C9</f>
        <v>558</v>
      </c>
      <c r="E19" s="18" t="s">
        <v>120</v>
      </c>
    </row>
    <row r="20" spans="2:5" ht="14.25" customHeight="1" x14ac:dyDescent="0.3">
      <c r="B20" s="17" t="s">
        <v>59</v>
      </c>
      <c r="C20" s="18" t="s">
        <v>58</v>
      </c>
      <c r="D20" s="46">
        <f>'SETUP &amp; TARGETS'!$C9</f>
        <v>558</v>
      </c>
      <c r="E20" s="18" t="s">
        <v>120</v>
      </c>
    </row>
    <row r="21" spans="2:5" ht="14.25" customHeight="1" x14ac:dyDescent="0.3">
      <c r="B21" s="17" t="s">
        <v>60</v>
      </c>
      <c r="C21" s="18" t="s">
        <v>58</v>
      </c>
      <c r="D21" s="46">
        <f>'SETUP &amp; TARGETS'!$C9</f>
        <v>558</v>
      </c>
      <c r="E21" s="18" t="s">
        <v>120</v>
      </c>
    </row>
    <row r="22" spans="2:5" ht="14.25" customHeight="1" x14ac:dyDescent="0.3">
      <c r="B22" s="17" t="s">
        <v>61</v>
      </c>
      <c r="C22" s="18" t="s">
        <v>62</v>
      </c>
      <c r="D22" s="46">
        <f>'SETUP &amp; TARGETS'!$C9</f>
        <v>558</v>
      </c>
      <c r="E22" s="18" t="s">
        <v>120</v>
      </c>
    </row>
    <row r="23" spans="2:5" ht="14.25" customHeight="1" x14ac:dyDescent="0.3">
      <c r="B23" s="17" t="s">
        <v>63</v>
      </c>
      <c r="C23" s="18" t="s">
        <v>64</v>
      </c>
      <c r="D23" s="46">
        <f>'SETUP &amp; TARGETS'!$C9</f>
        <v>558</v>
      </c>
      <c r="E23" s="18" t="s">
        <v>120</v>
      </c>
    </row>
    <row r="25" spans="2:5" ht="14.25" customHeight="1" x14ac:dyDescent="0.3">
      <c r="B25" s="15" t="s">
        <v>121</v>
      </c>
    </row>
    <row r="27" spans="2:5" x14ac:dyDescent="0.3">
      <c r="B27" s="30" t="s">
        <v>122</v>
      </c>
    </row>
    <row r="28" spans="2:5" x14ac:dyDescent="0.3">
      <c r="B28" s="48" t="s">
        <v>123</v>
      </c>
      <c r="C28" s="35">
        <v>12</v>
      </c>
      <c r="E28" s="31" t="s">
        <v>124</v>
      </c>
    </row>
    <row r="29" spans="2:5" x14ac:dyDescent="0.3">
      <c r="B29" s="48" t="s">
        <v>125</v>
      </c>
      <c r="C29" s="49">
        <v>0.8</v>
      </c>
      <c r="E29" s="31" t="s">
        <v>126</v>
      </c>
    </row>
    <row r="30" spans="2:5" x14ac:dyDescent="0.3">
      <c r="B30" s="48" t="s">
        <v>127</v>
      </c>
      <c r="C30" s="49">
        <v>0.9</v>
      </c>
      <c r="E30" s="31" t="s">
        <v>128</v>
      </c>
    </row>
    <row r="31" spans="2:5" x14ac:dyDescent="0.3">
      <c r="B31" s="48" t="s">
        <v>129</v>
      </c>
      <c r="C31" s="35"/>
      <c r="E31" s="31" t="s">
        <v>130</v>
      </c>
    </row>
    <row r="32" spans="2:5" x14ac:dyDescent="0.3">
      <c r="B32" s="48" t="s">
        <v>131</v>
      </c>
      <c r="C32" s="50">
        <v>250</v>
      </c>
      <c r="E32" s="31" t="s">
        <v>132</v>
      </c>
    </row>
    <row r="33" spans="2:5" x14ac:dyDescent="0.3">
      <c r="B33" s="48" t="s">
        <v>133</v>
      </c>
      <c r="C33" s="50">
        <v>7</v>
      </c>
      <c r="E33" s="31" t="s">
        <v>134</v>
      </c>
    </row>
    <row r="34" spans="2:5" x14ac:dyDescent="0.3">
      <c r="B34" s="48" t="s">
        <v>135</v>
      </c>
      <c r="C34" s="50">
        <v>7</v>
      </c>
      <c r="E34" s="31" t="s">
        <v>136</v>
      </c>
    </row>
    <row r="35" spans="2:5" x14ac:dyDescent="0.3">
      <c r="B35" s="48" t="s">
        <v>137</v>
      </c>
      <c r="C35" s="50">
        <v>3</v>
      </c>
      <c r="E35" s="31" t="s">
        <v>138</v>
      </c>
    </row>
    <row r="36" spans="2:5" x14ac:dyDescent="0.3">
      <c r="B36" s="48" t="s">
        <v>139</v>
      </c>
      <c r="C36" s="50">
        <v>6</v>
      </c>
      <c r="E36" s="31" t="s">
        <v>140</v>
      </c>
    </row>
    <row r="38" spans="2:5" x14ac:dyDescent="0.3">
      <c r="B38" s="30" t="s">
        <v>141</v>
      </c>
    </row>
    <row r="39" spans="2:5" x14ac:dyDescent="0.3">
      <c r="B39" s="2" t="s">
        <v>142</v>
      </c>
      <c r="C39" s="2" t="s">
        <v>143</v>
      </c>
      <c r="D39" s="2" t="s">
        <v>144</v>
      </c>
      <c r="E39" s="2" t="s">
        <v>145</v>
      </c>
    </row>
    <row r="40" spans="2:5" x14ac:dyDescent="0.3">
      <c r="B40" s="51" t="s">
        <v>146</v>
      </c>
      <c r="C40" s="52" t="s">
        <v>147</v>
      </c>
      <c r="D40" s="52" t="s">
        <v>148</v>
      </c>
      <c r="E40" s="36">
        <f>$C$28</f>
        <v>12</v>
      </c>
    </row>
    <row r="41" spans="2:5" x14ac:dyDescent="0.3">
      <c r="B41" s="51" t="s">
        <v>149</v>
      </c>
      <c r="C41" s="52" t="s">
        <v>150</v>
      </c>
      <c r="D41" s="52" t="s">
        <v>151</v>
      </c>
      <c r="E41" s="36">
        <f>$C$28</f>
        <v>12</v>
      </c>
    </row>
    <row r="42" spans="2:5" x14ac:dyDescent="0.3">
      <c r="B42" s="51" t="s">
        <v>152</v>
      </c>
      <c r="C42" s="52" t="s">
        <v>150</v>
      </c>
      <c r="D42" s="52" t="s">
        <v>153</v>
      </c>
      <c r="E42" s="36">
        <f>$C$28</f>
        <v>12</v>
      </c>
    </row>
    <row r="43" spans="2:5" x14ac:dyDescent="0.3">
      <c r="B43" s="51" t="s">
        <v>154</v>
      </c>
      <c r="C43" s="52" t="s">
        <v>155</v>
      </c>
      <c r="D43" s="52" t="s">
        <v>156</v>
      </c>
      <c r="E43" s="36">
        <f>$C$28</f>
        <v>12</v>
      </c>
    </row>
    <row r="45" spans="2:5" x14ac:dyDescent="0.3">
      <c r="B45" s="31" t="s">
        <v>157</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Q38"/>
  <sheetViews>
    <sheetView showGridLines="0" zoomScaleNormal="100" workbookViewId="0">
      <pane xSplit="1" ySplit="6" topLeftCell="B7" activePane="bottomRight" state="frozen"/>
      <selection pane="topRight" activeCell="B1" sqref="B1"/>
      <selection pane="bottomLeft" activeCell="A7" sqref="A7"/>
      <selection pane="bottomRight" activeCell="P7" sqref="P7"/>
    </sheetView>
  </sheetViews>
  <sheetFormatPr defaultColWidth="8.6640625" defaultRowHeight="14.4" x14ac:dyDescent="0.3"/>
  <cols>
    <col min="2" max="2" width="22.33203125" customWidth="1"/>
    <col min="3" max="3" width="11" customWidth="1"/>
    <col min="4" max="4" width="13" customWidth="1"/>
    <col min="5" max="5" width="12.33203125" customWidth="1"/>
    <col min="6" max="7" width="10" customWidth="1"/>
    <col min="8" max="8" width="12" customWidth="1"/>
    <col min="9" max="10" width="10" customWidth="1"/>
    <col min="11" max="13" width="9" customWidth="1"/>
    <col min="14" max="14" width="10" customWidth="1"/>
    <col min="15" max="16" width="9" customWidth="1"/>
    <col min="17" max="17" width="77.77734375" customWidth="1"/>
    <col min="18" max="18" width="46" customWidth="1"/>
  </cols>
  <sheetData>
    <row r="2" spans="2:17" ht="18" customHeight="1" x14ac:dyDescent="0.35">
      <c r="B2" s="13" t="s">
        <v>158</v>
      </c>
    </row>
    <row r="3" spans="2:17" ht="14.25" customHeight="1" x14ac:dyDescent="0.3">
      <c r="B3" s="14" t="s">
        <v>43</v>
      </c>
    </row>
    <row r="4" spans="2:17" ht="14.25" customHeight="1" x14ac:dyDescent="0.3">
      <c r="B4" s="15"/>
    </row>
    <row r="6" spans="2:17" ht="39.75" customHeight="1" x14ac:dyDescent="0.3">
      <c r="B6" s="16" t="s">
        <v>159</v>
      </c>
      <c r="C6" s="16" t="s">
        <v>160</v>
      </c>
      <c r="D6" s="16" t="s">
        <v>161</v>
      </c>
      <c r="E6" s="16" t="s">
        <v>162</v>
      </c>
      <c r="F6" s="16" t="s">
        <v>163</v>
      </c>
      <c r="G6" s="16" t="s">
        <v>164</v>
      </c>
      <c r="H6" s="16" t="s">
        <v>165</v>
      </c>
      <c r="I6" s="16" t="s">
        <v>87</v>
      </c>
      <c r="J6" s="16" t="s">
        <v>166</v>
      </c>
      <c r="K6" s="16" t="s">
        <v>167</v>
      </c>
      <c r="L6" s="16" t="s">
        <v>168</v>
      </c>
      <c r="M6" s="16" t="s">
        <v>169</v>
      </c>
      <c r="N6" s="16" t="s">
        <v>170</v>
      </c>
      <c r="O6" s="16" t="s">
        <v>171</v>
      </c>
      <c r="P6" s="16" t="s">
        <v>95</v>
      </c>
      <c r="Q6" s="16" t="s">
        <v>172</v>
      </c>
    </row>
    <row r="7" spans="2:17" ht="14.25" customHeight="1" x14ac:dyDescent="0.3">
      <c r="B7" s="53">
        <v>46266</v>
      </c>
      <c r="C7" s="54" t="s">
        <v>173</v>
      </c>
      <c r="D7" s="55">
        <v>10165</v>
      </c>
      <c r="E7" s="55">
        <v>10165</v>
      </c>
      <c r="F7" s="29">
        <f t="shared" ref="F7:F37" si="0">IF(OR($E7="",$D7=""),"",MAX(0,$E7-$D7))</f>
        <v>0</v>
      </c>
      <c r="G7" s="55" t="s">
        <v>175</v>
      </c>
      <c r="H7" s="55"/>
      <c r="I7" s="55">
        <v>18</v>
      </c>
      <c r="J7" s="29">
        <f>IF($C7="Y",'SETUP &amp; TARGETS'!$C$7,0)</f>
        <v>18</v>
      </c>
      <c r="K7" s="29">
        <f>0+$J7</f>
        <v>18</v>
      </c>
      <c r="L7" s="29">
        <f>0+N($F7)</f>
        <v>0</v>
      </c>
      <c r="M7" s="27">
        <f t="shared" ref="M7:M37" si="1">IFERROR($L7/$K7,0)</f>
        <v>0</v>
      </c>
      <c r="N7" s="27">
        <f>IF($F7="","",IFERROR($F7/'SETUP &amp; TARGETS'!$C7,0))</f>
        <v>0</v>
      </c>
      <c r="O7" s="27">
        <f>IF(OR($C7&lt;&gt;"Y",COUNT($D7,$E7,$H7,$I7)=0),"",MAX(0,IFERROR(('SETUP &amp; TARGETS'!$C$10-N($I7))/'SETUP &amp; TARGETS'!$C$10,0)))</f>
        <v>0</v>
      </c>
      <c r="P7" s="22" t="str">
        <f>IF($K7=0,"",IF($M7&gt;='SETUP &amp; TARGETS'!$C11,"GREEN",IF($M7&gt;='SETUP &amp; TARGETS'!$C13,"AMBER","RED")))</f>
        <v>RED</v>
      </c>
      <c r="Q7" s="56" t="str">
        <f>IFERROR(INDEX('DELAY CODE REGISTER'!$C$6:$C$49,MATCH(G7,'DELAY CODE REGISTER'!$B$6:$B$49,0)),"")</f>
        <v>Breakdown:Component change out</v>
      </c>
    </row>
    <row r="8" spans="2:17" ht="14.25" customHeight="1" x14ac:dyDescent="0.3">
      <c r="B8" s="53">
        <v>46267</v>
      </c>
      <c r="C8" s="54" t="s">
        <v>173</v>
      </c>
      <c r="D8" s="55">
        <v>10165</v>
      </c>
      <c r="E8" s="55">
        <v>10165</v>
      </c>
      <c r="F8" s="29">
        <f t="shared" si="0"/>
        <v>0</v>
      </c>
      <c r="G8" s="55" t="s">
        <v>175</v>
      </c>
      <c r="H8" s="55"/>
      <c r="I8" s="55">
        <v>18</v>
      </c>
      <c r="J8" s="29">
        <f>IF($C8="Y",'SETUP &amp; TARGETS'!$C$7,0)</f>
        <v>18</v>
      </c>
      <c r="K8" s="29">
        <f t="shared" ref="K8:K36" si="2">$K7+$J8</f>
        <v>36</v>
      </c>
      <c r="L8" s="29">
        <f t="shared" ref="L8:L36" si="3">$L7+N($F8)</f>
        <v>0</v>
      </c>
      <c r="M8" s="27">
        <f t="shared" si="1"/>
        <v>0</v>
      </c>
      <c r="N8" s="27">
        <f>IF($F8="","",IFERROR($F8/'SETUP &amp; TARGETS'!$C7,0))</f>
        <v>0</v>
      </c>
      <c r="O8" s="27">
        <f>IF(OR($C8&lt;&gt;"Y",COUNT($D8,$E8,$H8,$I8)=0),"",MAX(0,IFERROR(('SETUP &amp; TARGETS'!$C$10-N($I8))/'SETUP &amp; TARGETS'!$C$10,0)))</f>
        <v>0</v>
      </c>
      <c r="P8" s="22" t="str">
        <f>IF($K8=0,"",IF($M8&gt;='SETUP &amp; TARGETS'!$C11,"GREEN",IF($M8&gt;='SETUP &amp; TARGETS'!$C13,"AMBER","RED")))</f>
        <v>RED</v>
      </c>
      <c r="Q8" s="56" t="str">
        <f>IFERROR(INDEX('DELAY CODE REGISTER'!$C$6:$C$49,MATCH(G8,'DELAY CODE REGISTER'!$B$6:$B$49,0)),"")</f>
        <v>Breakdown:Component change out</v>
      </c>
    </row>
    <row r="9" spans="2:17" ht="14.25" customHeight="1" x14ac:dyDescent="0.3">
      <c r="B9" s="53">
        <v>46268</v>
      </c>
      <c r="C9" s="54" t="s">
        <v>173</v>
      </c>
      <c r="D9" s="55">
        <v>10165</v>
      </c>
      <c r="E9" s="55">
        <v>10165</v>
      </c>
      <c r="F9" s="29">
        <f t="shared" si="0"/>
        <v>0</v>
      </c>
      <c r="G9" s="55" t="s">
        <v>175</v>
      </c>
      <c r="H9" s="55"/>
      <c r="I9" s="55">
        <v>18</v>
      </c>
      <c r="J9" s="29">
        <f>IF($C9="Y",'SETUP &amp; TARGETS'!$C$7,0)</f>
        <v>18</v>
      </c>
      <c r="K9" s="29">
        <f t="shared" si="2"/>
        <v>54</v>
      </c>
      <c r="L9" s="29">
        <f t="shared" si="3"/>
        <v>0</v>
      </c>
      <c r="M9" s="27">
        <f t="shared" si="1"/>
        <v>0</v>
      </c>
      <c r="N9" s="27">
        <f>IF($F9="","",IFERROR($F9/'SETUP &amp; TARGETS'!$C7,0))</f>
        <v>0</v>
      </c>
      <c r="O9" s="27">
        <f>IF(OR($C9&lt;&gt;"Y",COUNT($D9,$E9,$H9,$I9)=0),"",MAX(0,IFERROR(('SETUP &amp; TARGETS'!$C$10-N($I9))/'SETUP &amp; TARGETS'!$C$10,0)))</f>
        <v>0</v>
      </c>
      <c r="P9" s="22" t="str">
        <f>IF($K9=0,"",IF($M9&gt;='SETUP &amp; TARGETS'!$C11,"GREEN",IF($M9&gt;='SETUP &amp; TARGETS'!$C13,"AMBER","RED")))</f>
        <v>RED</v>
      </c>
      <c r="Q9" s="56" t="str">
        <f>IFERROR(INDEX('DELAY CODE REGISTER'!$C$6:$C$49,MATCH(G9,'DELAY CODE REGISTER'!$B$6:$B$49,0)),"")</f>
        <v>Breakdown:Component change out</v>
      </c>
    </row>
    <row r="10" spans="2:17" ht="14.25" customHeight="1" x14ac:dyDescent="0.3">
      <c r="B10" s="53">
        <v>46269</v>
      </c>
      <c r="C10" s="54" t="s">
        <v>173</v>
      </c>
      <c r="D10" s="55">
        <v>10165</v>
      </c>
      <c r="E10" s="55">
        <v>10165</v>
      </c>
      <c r="F10" s="29">
        <f t="shared" si="0"/>
        <v>0</v>
      </c>
      <c r="G10" s="55" t="s">
        <v>175</v>
      </c>
      <c r="H10" s="55"/>
      <c r="I10" s="55">
        <v>18</v>
      </c>
      <c r="J10" s="29">
        <f>IF($C10="Y",'SETUP &amp; TARGETS'!$C$7,0)</f>
        <v>18</v>
      </c>
      <c r="K10" s="29">
        <f t="shared" si="2"/>
        <v>72</v>
      </c>
      <c r="L10" s="29">
        <f t="shared" si="3"/>
        <v>0</v>
      </c>
      <c r="M10" s="27">
        <f t="shared" si="1"/>
        <v>0</v>
      </c>
      <c r="N10" s="27">
        <f>IF($F10="","",IFERROR($F10/'SETUP &amp; TARGETS'!$C7,0))</f>
        <v>0</v>
      </c>
      <c r="O10" s="27">
        <f>IF(OR($C10&lt;&gt;"Y",COUNT($D10,$E10,$H10,$I10)=0),"",MAX(0,IFERROR(('SETUP &amp; TARGETS'!$C$10-N($I10))/'SETUP &amp; TARGETS'!$C$10,0)))</f>
        <v>0</v>
      </c>
      <c r="P10" s="22" t="str">
        <f>IF($K10=0,"",IF($M10&gt;='SETUP &amp; TARGETS'!$C11,"GREEN",IF($M10&gt;='SETUP &amp; TARGETS'!$C13,"AMBER","RED")))</f>
        <v>RED</v>
      </c>
      <c r="Q10" s="56" t="str">
        <f>IFERROR(INDEX('DELAY CODE REGISTER'!$C$6:$C$49,MATCH(G10,'DELAY CODE REGISTER'!$B$6:$B$49,0)),"")</f>
        <v>Breakdown:Component change out</v>
      </c>
    </row>
    <row r="11" spans="2:17" ht="14.25" customHeight="1" x14ac:dyDescent="0.3">
      <c r="B11" s="53">
        <v>46270</v>
      </c>
      <c r="C11" s="54" t="s">
        <v>173</v>
      </c>
      <c r="D11" s="55">
        <v>10165</v>
      </c>
      <c r="E11" s="55">
        <v>10165</v>
      </c>
      <c r="F11" s="29">
        <f t="shared" si="0"/>
        <v>0</v>
      </c>
      <c r="G11" s="55" t="s">
        <v>175</v>
      </c>
      <c r="H11" s="55"/>
      <c r="I11" s="55">
        <v>18</v>
      </c>
      <c r="J11" s="29">
        <f>IF($C11="Y",'SETUP &amp; TARGETS'!$C$7,0)</f>
        <v>18</v>
      </c>
      <c r="K11" s="29">
        <f t="shared" si="2"/>
        <v>90</v>
      </c>
      <c r="L11" s="29">
        <f t="shared" si="3"/>
        <v>0</v>
      </c>
      <c r="M11" s="27">
        <f t="shared" si="1"/>
        <v>0</v>
      </c>
      <c r="N11" s="27">
        <f>IF($F11="","",IFERROR($F11/'SETUP &amp; TARGETS'!$C7,0))</f>
        <v>0</v>
      </c>
      <c r="O11" s="27">
        <f>IF(OR($C11&lt;&gt;"Y",COUNT($D11,$E11,$H11,$I11)=0),"",MAX(0,IFERROR(('SETUP &amp; TARGETS'!$C$10-N($I11))/'SETUP &amp; TARGETS'!$C$10,0)))</f>
        <v>0</v>
      </c>
      <c r="P11" s="22" t="str">
        <f>IF($K11=0,"",IF($M11&gt;='SETUP &amp; TARGETS'!$C11,"GREEN",IF($M11&gt;='SETUP &amp; TARGETS'!$C13,"AMBER","RED")))</f>
        <v>RED</v>
      </c>
      <c r="Q11" s="56" t="str">
        <f>IFERROR(INDEX('DELAY CODE REGISTER'!$C$6:$C$49,MATCH(G11,'DELAY CODE REGISTER'!$B$6:$B$49,0)),"")</f>
        <v>Breakdown:Component change out</v>
      </c>
    </row>
    <row r="12" spans="2:17" ht="14.25" customHeight="1" x14ac:dyDescent="0.3">
      <c r="B12" s="53">
        <v>46271</v>
      </c>
      <c r="C12" s="54" t="s">
        <v>173</v>
      </c>
      <c r="D12" s="55">
        <v>10165</v>
      </c>
      <c r="E12" s="55">
        <v>10165</v>
      </c>
      <c r="F12" s="29">
        <f t="shared" si="0"/>
        <v>0</v>
      </c>
      <c r="G12" s="55" t="s">
        <v>175</v>
      </c>
      <c r="H12" s="55"/>
      <c r="I12" s="55">
        <v>18</v>
      </c>
      <c r="J12" s="29">
        <f>IF($C12="Y",'SETUP &amp; TARGETS'!$C$7,0)</f>
        <v>18</v>
      </c>
      <c r="K12" s="29">
        <f t="shared" si="2"/>
        <v>108</v>
      </c>
      <c r="L12" s="29">
        <f t="shared" si="3"/>
        <v>0</v>
      </c>
      <c r="M12" s="27">
        <f t="shared" si="1"/>
        <v>0</v>
      </c>
      <c r="N12" s="27">
        <f>IF($F12="","",IFERROR($F12/'SETUP &amp; TARGETS'!$C7,0))</f>
        <v>0</v>
      </c>
      <c r="O12" s="27">
        <f>IF(OR($C12&lt;&gt;"Y",COUNT($D12,$E12,$H12,$I12)=0),"",MAX(0,IFERROR(('SETUP &amp; TARGETS'!$C$10-N($I12))/'SETUP &amp; TARGETS'!$C$10,0)))</f>
        <v>0</v>
      </c>
      <c r="P12" s="22" t="str">
        <f>IF($K12=0,"",IF($M12&gt;='SETUP &amp; TARGETS'!$C11,"GREEN",IF($M12&gt;='SETUP &amp; TARGETS'!$C13,"AMBER","RED")))</f>
        <v>RED</v>
      </c>
      <c r="Q12" s="56" t="str">
        <f>IFERROR(INDEX('DELAY CODE REGISTER'!$C$6:$C$49,MATCH(G12,'DELAY CODE REGISTER'!$B$6:$B$49,0)),"")</f>
        <v>Breakdown:Component change out</v>
      </c>
    </row>
    <row r="13" spans="2:17" ht="14.25" customHeight="1" x14ac:dyDescent="0.3">
      <c r="B13" s="53">
        <v>46272</v>
      </c>
      <c r="C13" s="54" t="s">
        <v>173</v>
      </c>
      <c r="D13" s="55">
        <v>10165</v>
      </c>
      <c r="E13" s="55">
        <v>10165</v>
      </c>
      <c r="F13" s="29">
        <f t="shared" si="0"/>
        <v>0</v>
      </c>
      <c r="G13" s="55" t="s">
        <v>175</v>
      </c>
      <c r="H13" s="55"/>
      <c r="I13" s="55">
        <v>18</v>
      </c>
      <c r="J13" s="29">
        <f>IF($C13="Y",'SETUP &amp; TARGETS'!$C$7,0)</f>
        <v>18</v>
      </c>
      <c r="K13" s="29">
        <f t="shared" si="2"/>
        <v>126</v>
      </c>
      <c r="L13" s="29">
        <f t="shared" si="3"/>
        <v>0</v>
      </c>
      <c r="M13" s="27">
        <f t="shared" si="1"/>
        <v>0</v>
      </c>
      <c r="N13" s="27">
        <f>IF($F13="","",IFERROR($F13/'SETUP &amp; TARGETS'!$C7,0))</f>
        <v>0</v>
      </c>
      <c r="O13" s="27">
        <f>IF(OR($C13&lt;&gt;"Y",COUNT($D13,$E13,$H13,$I13)=0),"",MAX(0,IFERROR(('SETUP &amp; TARGETS'!$C$10-N($I13))/'SETUP &amp; TARGETS'!$C$10,0)))</f>
        <v>0</v>
      </c>
      <c r="P13" s="22" t="str">
        <f>IF($K13=0,"",IF($M13&gt;='SETUP &amp; TARGETS'!$C11,"GREEN",IF($M13&gt;='SETUP &amp; TARGETS'!$C13,"AMBER","RED")))</f>
        <v>RED</v>
      </c>
      <c r="Q13" s="56" t="str">
        <f>IFERROR(INDEX('DELAY CODE REGISTER'!$C$6:$C$49,MATCH(G13,'DELAY CODE REGISTER'!$B$6:$B$49,0)),"")</f>
        <v>Breakdown:Component change out</v>
      </c>
    </row>
    <row r="14" spans="2:17" ht="14.25" customHeight="1" x14ac:dyDescent="0.3">
      <c r="B14" s="53">
        <v>46273</v>
      </c>
      <c r="C14" s="54" t="s">
        <v>173</v>
      </c>
      <c r="D14" s="55">
        <v>10165</v>
      </c>
      <c r="E14" s="55">
        <v>10165</v>
      </c>
      <c r="F14" s="29">
        <f t="shared" si="0"/>
        <v>0</v>
      </c>
      <c r="G14" s="55" t="s">
        <v>175</v>
      </c>
      <c r="H14" s="55"/>
      <c r="I14" s="55">
        <v>18</v>
      </c>
      <c r="J14" s="29">
        <f>IF($C14="Y",'SETUP &amp; TARGETS'!$C$7,0)</f>
        <v>18</v>
      </c>
      <c r="K14" s="29">
        <f t="shared" si="2"/>
        <v>144</v>
      </c>
      <c r="L14" s="29">
        <f t="shared" si="3"/>
        <v>0</v>
      </c>
      <c r="M14" s="27">
        <f t="shared" si="1"/>
        <v>0</v>
      </c>
      <c r="N14" s="27">
        <f>IF($F14="","",IFERROR($F14/'SETUP &amp; TARGETS'!$C7,0))</f>
        <v>0</v>
      </c>
      <c r="O14" s="27">
        <f>IF(OR($C14&lt;&gt;"Y",COUNT($D14,$E14,$H14,$I14)=0),"",MAX(0,IFERROR(('SETUP &amp; TARGETS'!$C$10-N($I14))/'SETUP &amp; TARGETS'!$C$10,0)))</f>
        <v>0</v>
      </c>
      <c r="P14" s="22" t="str">
        <f>IF($K14=0,"",IF($M14&gt;='SETUP &amp; TARGETS'!$C11,"GREEN",IF($M14&gt;='SETUP &amp; TARGETS'!$C13,"AMBER","RED")))</f>
        <v>RED</v>
      </c>
      <c r="Q14" s="56" t="str">
        <f>IFERROR(INDEX('DELAY CODE REGISTER'!$C$6:$C$49,MATCH(G14,'DELAY CODE REGISTER'!$B$6:$B$49,0)),"")</f>
        <v>Breakdown:Component change out</v>
      </c>
    </row>
    <row r="15" spans="2:17" ht="14.25" customHeight="1" x14ac:dyDescent="0.3">
      <c r="B15" s="53">
        <v>46274</v>
      </c>
      <c r="C15" s="54" t="s">
        <v>173</v>
      </c>
      <c r="D15" s="55">
        <v>10165</v>
      </c>
      <c r="E15" s="55">
        <v>10165</v>
      </c>
      <c r="F15" s="29">
        <f t="shared" si="0"/>
        <v>0</v>
      </c>
      <c r="G15" s="55" t="s">
        <v>175</v>
      </c>
      <c r="H15" s="55"/>
      <c r="I15" s="55">
        <v>18</v>
      </c>
      <c r="J15" s="29">
        <f>IF($C15="Y",'SETUP &amp; TARGETS'!$C$7,0)</f>
        <v>18</v>
      </c>
      <c r="K15" s="29">
        <f t="shared" si="2"/>
        <v>162</v>
      </c>
      <c r="L15" s="29">
        <f t="shared" si="3"/>
        <v>0</v>
      </c>
      <c r="M15" s="27">
        <f t="shared" si="1"/>
        <v>0</v>
      </c>
      <c r="N15" s="27">
        <f>IF($F15="","",IFERROR($F15/'SETUP &amp; TARGETS'!$C7,0))</f>
        <v>0</v>
      </c>
      <c r="O15" s="27">
        <f>IF(OR($C15&lt;&gt;"Y",COUNT($D15,$E15,$H15,$I15)=0),"",MAX(0,IFERROR(('SETUP &amp; TARGETS'!$C$10-N($I15))/'SETUP &amp; TARGETS'!$C$10,0)))</f>
        <v>0</v>
      </c>
      <c r="P15" s="22" t="str">
        <f>IF($K15=0,"",IF($M15&gt;='SETUP &amp; TARGETS'!$C11,"GREEN",IF($M15&gt;='SETUP &amp; TARGETS'!$C13,"AMBER","RED")))</f>
        <v>RED</v>
      </c>
      <c r="Q15" s="56" t="str">
        <f>IFERROR(INDEX('DELAY CODE REGISTER'!$C$6:$C$49,MATCH(G15,'DELAY CODE REGISTER'!$B$6:$B$49,0)),"")</f>
        <v>Breakdown:Component change out</v>
      </c>
    </row>
    <row r="16" spans="2:17" ht="14.25" customHeight="1" x14ac:dyDescent="0.3">
      <c r="B16" s="53">
        <v>46275</v>
      </c>
      <c r="C16" s="54" t="s">
        <v>173</v>
      </c>
      <c r="D16" s="55">
        <v>10165</v>
      </c>
      <c r="E16" s="55">
        <v>10165</v>
      </c>
      <c r="F16" s="29">
        <f t="shared" si="0"/>
        <v>0</v>
      </c>
      <c r="G16" s="55" t="s">
        <v>175</v>
      </c>
      <c r="H16" s="55"/>
      <c r="I16" s="55">
        <v>18</v>
      </c>
      <c r="J16" s="29">
        <f>IF($C16="Y",'SETUP &amp; TARGETS'!$C$7,0)</f>
        <v>18</v>
      </c>
      <c r="K16" s="29">
        <f t="shared" si="2"/>
        <v>180</v>
      </c>
      <c r="L16" s="29">
        <f t="shared" si="3"/>
        <v>0</v>
      </c>
      <c r="M16" s="27">
        <f t="shared" si="1"/>
        <v>0</v>
      </c>
      <c r="N16" s="27">
        <f>IF($F16="","",IFERROR($F16/'SETUP &amp; TARGETS'!$C7,0))</f>
        <v>0</v>
      </c>
      <c r="O16" s="27">
        <f>IF(OR($C16&lt;&gt;"Y",COUNT($D16,$E16,$H16,$I16)=0),"",MAX(0,IFERROR(('SETUP &amp; TARGETS'!$C$10-N($I16))/'SETUP &amp; TARGETS'!$C$10,0)))</f>
        <v>0</v>
      </c>
      <c r="P16" s="22" t="str">
        <f>IF($K16=0,"",IF($M16&gt;='SETUP &amp; TARGETS'!$C11,"GREEN",IF($M16&gt;='SETUP &amp; TARGETS'!$C13,"AMBER","RED")))</f>
        <v>RED</v>
      </c>
      <c r="Q16" s="56" t="str">
        <f>IFERROR(INDEX('DELAY CODE REGISTER'!$C$6:$C$49,MATCH(G16,'DELAY CODE REGISTER'!$B$6:$B$49,0)),"")</f>
        <v>Breakdown:Component change out</v>
      </c>
    </row>
    <row r="17" spans="2:17" ht="14.25" customHeight="1" x14ac:dyDescent="0.3">
      <c r="B17" s="53">
        <v>46276</v>
      </c>
      <c r="C17" s="54" t="s">
        <v>173</v>
      </c>
      <c r="D17" s="55">
        <v>10165</v>
      </c>
      <c r="E17" s="55">
        <v>10165</v>
      </c>
      <c r="F17" s="29">
        <f t="shared" si="0"/>
        <v>0</v>
      </c>
      <c r="G17" s="55" t="s">
        <v>175</v>
      </c>
      <c r="H17" s="55"/>
      <c r="I17" s="55">
        <v>18</v>
      </c>
      <c r="J17" s="29">
        <f>IF($C17="Y",'SETUP &amp; TARGETS'!$C$7,0)</f>
        <v>18</v>
      </c>
      <c r="K17" s="29">
        <f t="shared" si="2"/>
        <v>198</v>
      </c>
      <c r="L17" s="29">
        <f t="shared" si="3"/>
        <v>0</v>
      </c>
      <c r="M17" s="27">
        <f t="shared" si="1"/>
        <v>0</v>
      </c>
      <c r="N17" s="27">
        <f>IF($F17="","",IFERROR($F17/'SETUP &amp; TARGETS'!$C7,0))</f>
        <v>0</v>
      </c>
      <c r="O17" s="27">
        <f>IF(OR($C17&lt;&gt;"Y",COUNT($D17,$E17,$H17,$I17)=0),"",MAX(0,IFERROR(('SETUP &amp; TARGETS'!$C$10-N($I17))/'SETUP &amp; TARGETS'!$C$10,0)))</f>
        <v>0</v>
      </c>
      <c r="P17" s="22" t="str">
        <f>IF($K17=0,"",IF($M17&gt;='SETUP &amp; TARGETS'!$C11,"GREEN",IF($M17&gt;='SETUP &amp; TARGETS'!$C13,"AMBER","RED")))</f>
        <v>RED</v>
      </c>
      <c r="Q17" s="56" t="str">
        <f>IFERROR(INDEX('DELAY CODE REGISTER'!$C$6:$C$49,MATCH(G17,'DELAY CODE REGISTER'!$B$6:$B$49,0)),"")</f>
        <v>Breakdown:Component change out</v>
      </c>
    </row>
    <row r="18" spans="2:17" ht="14.25" customHeight="1" x14ac:dyDescent="0.3">
      <c r="B18" s="53">
        <v>46277</v>
      </c>
      <c r="C18" s="54" t="s">
        <v>173</v>
      </c>
      <c r="D18" s="55">
        <v>10165</v>
      </c>
      <c r="E18" s="55">
        <v>10165</v>
      </c>
      <c r="F18" s="29">
        <f t="shared" si="0"/>
        <v>0</v>
      </c>
      <c r="G18" s="55" t="s">
        <v>175</v>
      </c>
      <c r="H18" s="55"/>
      <c r="I18" s="55">
        <v>18</v>
      </c>
      <c r="J18" s="29">
        <f>IF($C18="Y",'SETUP &amp; TARGETS'!$C$7,0)</f>
        <v>18</v>
      </c>
      <c r="K18" s="29">
        <f t="shared" si="2"/>
        <v>216</v>
      </c>
      <c r="L18" s="29">
        <f t="shared" si="3"/>
        <v>0</v>
      </c>
      <c r="M18" s="27">
        <f t="shared" si="1"/>
        <v>0</v>
      </c>
      <c r="N18" s="27">
        <f>IF($F18="","",IFERROR($F18/'SETUP &amp; TARGETS'!$C7,0))</f>
        <v>0</v>
      </c>
      <c r="O18" s="27">
        <f>IF(OR($C18&lt;&gt;"Y",COUNT($D18,$E18,$H18,$I18)=0),"",MAX(0,IFERROR(('SETUP &amp; TARGETS'!$C$10-N($I18))/'SETUP &amp; TARGETS'!$C$10,0)))</f>
        <v>0</v>
      </c>
      <c r="P18" s="22" t="str">
        <f>IF($K18=0,"",IF($M18&gt;='SETUP &amp; TARGETS'!$C11,"GREEN",IF($M18&gt;='SETUP &amp; TARGETS'!$C13,"AMBER","RED")))</f>
        <v>RED</v>
      </c>
      <c r="Q18" s="56" t="str">
        <f>IFERROR(INDEX('DELAY CODE REGISTER'!$C$6:$C$49,MATCH(G18,'DELAY CODE REGISTER'!$B$6:$B$49,0)),"")</f>
        <v>Breakdown:Component change out</v>
      </c>
    </row>
    <row r="19" spans="2:17" ht="14.25" customHeight="1" x14ac:dyDescent="0.3">
      <c r="B19" s="53">
        <v>46278</v>
      </c>
      <c r="C19" s="54" t="s">
        <v>173</v>
      </c>
      <c r="D19" s="55">
        <v>10165</v>
      </c>
      <c r="E19" s="55">
        <v>10165</v>
      </c>
      <c r="F19" s="29">
        <f t="shared" si="0"/>
        <v>0</v>
      </c>
      <c r="G19" s="55" t="s">
        <v>175</v>
      </c>
      <c r="H19" s="55"/>
      <c r="I19" s="55">
        <v>18</v>
      </c>
      <c r="J19" s="29">
        <f>IF($C19="Y",'SETUP &amp; TARGETS'!$C$7,0)</f>
        <v>18</v>
      </c>
      <c r="K19" s="29">
        <f t="shared" si="2"/>
        <v>234</v>
      </c>
      <c r="L19" s="29">
        <f t="shared" si="3"/>
        <v>0</v>
      </c>
      <c r="M19" s="27">
        <f t="shared" si="1"/>
        <v>0</v>
      </c>
      <c r="N19" s="27">
        <f>IF($F19="","",IFERROR($F19/'SETUP &amp; TARGETS'!$C7,0))</f>
        <v>0</v>
      </c>
      <c r="O19" s="27">
        <f>IF(OR($C19&lt;&gt;"Y",COUNT($D19,$E19,$H19,$I19)=0),"",MAX(0,IFERROR(('SETUP &amp; TARGETS'!$C$10-N($I19))/'SETUP &amp; TARGETS'!$C$10,0)))</f>
        <v>0</v>
      </c>
      <c r="P19" s="22" t="str">
        <f>IF($K19=0,"",IF($M19&gt;='SETUP &amp; TARGETS'!$C11,"GREEN",IF($M19&gt;='SETUP &amp; TARGETS'!$C13,"AMBER","RED")))</f>
        <v>RED</v>
      </c>
      <c r="Q19" s="56" t="str">
        <f>IFERROR(INDEX('DELAY CODE REGISTER'!$C$6:$C$49,MATCH(G19,'DELAY CODE REGISTER'!$B$6:$B$49,0)),"")</f>
        <v>Breakdown:Component change out</v>
      </c>
    </row>
    <row r="20" spans="2:17" ht="14.25" customHeight="1" x14ac:dyDescent="0.3">
      <c r="B20" s="53">
        <v>46279</v>
      </c>
      <c r="C20" s="54" t="s">
        <v>173</v>
      </c>
      <c r="D20" s="55">
        <v>10165</v>
      </c>
      <c r="E20" s="55">
        <v>10165</v>
      </c>
      <c r="F20" s="29">
        <f t="shared" si="0"/>
        <v>0</v>
      </c>
      <c r="G20" s="55" t="s">
        <v>175</v>
      </c>
      <c r="H20" s="55"/>
      <c r="I20" s="55">
        <v>18</v>
      </c>
      <c r="J20" s="29">
        <f>IF($C20="Y",'SETUP &amp; TARGETS'!$C$7,0)</f>
        <v>18</v>
      </c>
      <c r="K20" s="29">
        <f t="shared" si="2"/>
        <v>252</v>
      </c>
      <c r="L20" s="29">
        <f t="shared" si="3"/>
        <v>0</v>
      </c>
      <c r="M20" s="27">
        <f t="shared" si="1"/>
        <v>0</v>
      </c>
      <c r="N20" s="27">
        <f>IF($F20="","",IFERROR($F20/'SETUP &amp; TARGETS'!$C7,0))</f>
        <v>0</v>
      </c>
      <c r="O20" s="27">
        <f>IF(OR($C20&lt;&gt;"Y",COUNT($D20,$E20,$H20,$I20)=0),"",MAX(0,IFERROR(('SETUP &amp; TARGETS'!$C$10-N($I20))/'SETUP &amp; TARGETS'!$C$10,0)))</f>
        <v>0</v>
      </c>
      <c r="P20" s="22" t="str">
        <f>IF($K20=0,"",IF($M20&gt;='SETUP &amp; TARGETS'!$C11,"GREEN",IF($M20&gt;='SETUP &amp; TARGETS'!$C13,"AMBER","RED")))</f>
        <v>RED</v>
      </c>
      <c r="Q20" s="56" t="str">
        <f>IFERROR(INDEX('DELAY CODE REGISTER'!$C$6:$C$49,MATCH(G20,'DELAY CODE REGISTER'!$B$6:$B$49,0)),"")</f>
        <v>Breakdown:Component change out</v>
      </c>
    </row>
    <row r="21" spans="2:17" ht="14.25" customHeight="1" x14ac:dyDescent="0.3">
      <c r="B21" s="53">
        <v>46280</v>
      </c>
      <c r="C21" s="54" t="s">
        <v>173</v>
      </c>
      <c r="D21" s="55">
        <v>10165</v>
      </c>
      <c r="E21" s="55">
        <v>10165</v>
      </c>
      <c r="F21" s="29">
        <f t="shared" si="0"/>
        <v>0</v>
      </c>
      <c r="G21" s="55" t="s">
        <v>175</v>
      </c>
      <c r="H21" s="55"/>
      <c r="I21" s="55">
        <v>18</v>
      </c>
      <c r="J21" s="29">
        <f>IF($C21="Y",'SETUP &amp; TARGETS'!$C$7,0)</f>
        <v>18</v>
      </c>
      <c r="K21" s="29">
        <f t="shared" si="2"/>
        <v>270</v>
      </c>
      <c r="L21" s="29">
        <f t="shared" si="3"/>
        <v>0</v>
      </c>
      <c r="M21" s="27">
        <f t="shared" si="1"/>
        <v>0</v>
      </c>
      <c r="N21" s="27">
        <f>IF($F21="","",IFERROR($F21/'SETUP &amp; TARGETS'!$C7,0))</f>
        <v>0</v>
      </c>
      <c r="O21" s="27">
        <f>IF(OR($C21&lt;&gt;"Y",COUNT($D21,$E21,$H21,$I21)=0),"",MAX(0,IFERROR(('SETUP &amp; TARGETS'!$C$10-N($I21))/'SETUP &amp; TARGETS'!$C$10,0)))</f>
        <v>0</v>
      </c>
      <c r="P21" s="22" t="str">
        <f>IF($K21=0,"",IF($M21&gt;='SETUP &amp; TARGETS'!$C11,"GREEN",IF($M21&gt;='SETUP &amp; TARGETS'!$C13,"AMBER","RED")))</f>
        <v>RED</v>
      </c>
      <c r="Q21" s="56" t="str">
        <f>IFERROR(INDEX('DELAY CODE REGISTER'!$C$6:$C$49,MATCH(G21,'DELAY CODE REGISTER'!$B$6:$B$49,0)),"")</f>
        <v>Breakdown:Component change out</v>
      </c>
    </row>
    <row r="22" spans="2:17" ht="14.25" customHeight="1" x14ac:dyDescent="0.3">
      <c r="B22" s="53">
        <v>46281</v>
      </c>
      <c r="C22" s="54" t="s">
        <v>173</v>
      </c>
      <c r="D22" s="55"/>
      <c r="E22" s="55"/>
      <c r="F22" s="29" t="str">
        <f t="shared" si="0"/>
        <v/>
      </c>
      <c r="G22" s="55"/>
      <c r="H22" s="55"/>
      <c r="I22" s="55"/>
      <c r="J22" s="29">
        <f>IF($C22="Y",'SETUP &amp; TARGETS'!$C$7,0)</f>
        <v>18</v>
      </c>
      <c r="K22" s="29">
        <f t="shared" si="2"/>
        <v>288</v>
      </c>
      <c r="L22" s="29">
        <f t="shared" si="3"/>
        <v>0</v>
      </c>
      <c r="M22" s="27">
        <f t="shared" si="1"/>
        <v>0</v>
      </c>
      <c r="N22" s="27" t="str">
        <f>IF($F22="","",IFERROR($F22/'SETUP &amp; TARGETS'!$C7,0))</f>
        <v/>
      </c>
      <c r="O22" s="27" t="str">
        <f>IF(OR($C22&lt;&gt;"Y",COUNT($D22,$E22,$H22,$I22)=0),"",MAX(0,IFERROR(('SETUP &amp; TARGETS'!$C$10-N($I22))/'SETUP &amp; TARGETS'!$C$10,0)))</f>
        <v/>
      </c>
      <c r="P22" s="22" t="str">
        <f>IF($K22=0,"",IF($M22&gt;='SETUP &amp; TARGETS'!$C11,"GREEN",IF($M22&gt;='SETUP &amp; TARGETS'!$C13,"AMBER","RED")))</f>
        <v>RED</v>
      </c>
      <c r="Q22" s="56" t="str">
        <f>IFERROR(INDEX('DELAY CODE REGISTER'!$C$6:$C$49,MATCH(G22,'DELAY CODE REGISTER'!$B$6:$B$49,0)),"")</f>
        <v/>
      </c>
    </row>
    <row r="23" spans="2:17" ht="14.25" customHeight="1" x14ac:dyDescent="0.3">
      <c r="B23" s="53">
        <v>46282</v>
      </c>
      <c r="C23" s="54" t="s">
        <v>173</v>
      </c>
      <c r="D23" s="55"/>
      <c r="E23" s="55"/>
      <c r="F23" s="29" t="str">
        <f t="shared" si="0"/>
        <v/>
      </c>
      <c r="G23" s="55"/>
      <c r="H23" s="55"/>
      <c r="I23" s="55"/>
      <c r="J23" s="29">
        <f>IF($C23="Y",'SETUP &amp; TARGETS'!$C$7,0)</f>
        <v>18</v>
      </c>
      <c r="K23" s="29">
        <f t="shared" si="2"/>
        <v>306</v>
      </c>
      <c r="L23" s="29">
        <f t="shared" si="3"/>
        <v>0</v>
      </c>
      <c r="M23" s="27">
        <f t="shared" si="1"/>
        <v>0</v>
      </c>
      <c r="N23" s="27" t="str">
        <f>IF($F23="","",IFERROR($F23/'SETUP &amp; TARGETS'!$C7,0))</f>
        <v/>
      </c>
      <c r="O23" s="27" t="str">
        <f>IF(OR($C23&lt;&gt;"Y",COUNT($D23,$E23,$H23,$I23)=0),"",MAX(0,IFERROR(('SETUP &amp; TARGETS'!$C$10-N($I23))/'SETUP &amp; TARGETS'!$C$10,0)))</f>
        <v/>
      </c>
      <c r="P23" s="22" t="str">
        <f>IF($K23=0,"",IF($M23&gt;='SETUP &amp; TARGETS'!$C11,"GREEN",IF($M23&gt;='SETUP &amp; TARGETS'!$C13,"AMBER","RED")))</f>
        <v>RED</v>
      </c>
      <c r="Q23" s="56" t="str">
        <f>IFERROR(INDEX('DELAY CODE REGISTER'!$C$6:$C$49,MATCH(G23,'DELAY CODE REGISTER'!$B$6:$B$49,0)),"")</f>
        <v/>
      </c>
    </row>
    <row r="24" spans="2:17" ht="14.25" customHeight="1" x14ac:dyDescent="0.3">
      <c r="B24" s="53">
        <v>46283</v>
      </c>
      <c r="C24" s="54" t="s">
        <v>173</v>
      </c>
      <c r="D24" s="55"/>
      <c r="E24" s="55"/>
      <c r="F24" s="29" t="str">
        <f t="shared" si="0"/>
        <v/>
      </c>
      <c r="G24" s="55"/>
      <c r="H24" s="55"/>
      <c r="I24" s="55"/>
      <c r="J24" s="29">
        <f>IF($C24="Y",'SETUP &amp; TARGETS'!$C$7,0)</f>
        <v>18</v>
      </c>
      <c r="K24" s="29">
        <f t="shared" si="2"/>
        <v>324</v>
      </c>
      <c r="L24" s="29">
        <f t="shared" si="3"/>
        <v>0</v>
      </c>
      <c r="M24" s="27">
        <f t="shared" si="1"/>
        <v>0</v>
      </c>
      <c r="N24" s="27" t="str">
        <f>IF($F24="","",IFERROR($F24/'SETUP &amp; TARGETS'!$C7,0))</f>
        <v/>
      </c>
      <c r="O24" s="27" t="str">
        <f>IF(OR($C24&lt;&gt;"Y",COUNT($D24,$E24,$H24,$I24)=0),"",MAX(0,IFERROR(('SETUP &amp; TARGETS'!$C$10-N($I24))/'SETUP &amp; TARGETS'!$C$10,0)))</f>
        <v/>
      </c>
      <c r="P24" s="22" t="str">
        <f>IF($K24=0,"",IF($M24&gt;='SETUP &amp; TARGETS'!$C11,"GREEN",IF($M24&gt;='SETUP &amp; TARGETS'!$C13,"AMBER","RED")))</f>
        <v>RED</v>
      </c>
      <c r="Q24" s="56" t="str">
        <f>IFERROR(INDEX('DELAY CODE REGISTER'!$C$6:$C$49,MATCH(G24,'DELAY CODE REGISTER'!$B$6:$B$49,0)),"")</f>
        <v/>
      </c>
    </row>
    <row r="25" spans="2:17" ht="14.25" customHeight="1" x14ac:dyDescent="0.3">
      <c r="B25" s="53">
        <v>46284</v>
      </c>
      <c r="C25" s="54" t="s">
        <v>173</v>
      </c>
      <c r="D25" s="55"/>
      <c r="E25" s="55"/>
      <c r="F25" s="29" t="str">
        <f t="shared" si="0"/>
        <v/>
      </c>
      <c r="G25" s="55"/>
      <c r="H25" s="55"/>
      <c r="I25" s="55"/>
      <c r="J25" s="29">
        <f>IF($C25="Y",'SETUP &amp; TARGETS'!$C$7,0)</f>
        <v>18</v>
      </c>
      <c r="K25" s="29">
        <f t="shared" si="2"/>
        <v>342</v>
      </c>
      <c r="L25" s="29">
        <f t="shared" si="3"/>
        <v>0</v>
      </c>
      <c r="M25" s="27">
        <f t="shared" si="1"/>
        <v>0</v>
      </c>
      <c r="N25" s="27" t="str">
        <f>IF($F25="","",IFERROR($F25/'SETUP &amp; TARGETS'!$C7,0))</f>
        <v/>
      </c>
      <c r="O25" s="27" t="str">
        <f>IF(OR($C25&lt;&gt;"Y",COUNT($D25,$E25,$H25,$I25)=0),"",MAX(0,IFERROR(('SETUP &amp; TARGETS'!$C$10-N($I25))/'SETUP &amp; TARGETS'!$C$10,0)))</f>
        <v/>
      </c>
      <c r="P25" s="22" t="str">
        <f>IF($K25=0,"",IF($M25&gt;='SETUP &amp; TARGETS'!$C11,"GREEN",IF($M25&gt;='SETUP &amp; TARGETS'!$C13,"AMBER","RED")))</f>
        <v>RED</v>
      </c>
      <c r="Q25" s="56" t="str">
        <f>IFERROR(INDEX('DELAY CODE REGISTER'!$C$6:$C$49,MATCH(G25,'DELAY CODE REGISTER'!$B$6:$B$49,0)),"")</f>
        <v/>
      </c>
    </row>
    <row r="26" spans="2:17" ht="14.25" customHeight="1" x14ac:dyDescent="0.3">
      <c r="B26" s="53">
        <v>46285</v>
      </c>
      <c r="C26" s="54" t="s">
        <v>173</v>
      </c>
      <c r="D26" s="55"/>
      <c r="E26" s="55"/>
      <c r="F26" s="29" t="str">
        <f t="shared" si="0"/>
        <v/>
      </c>
      <c r="G26" s="55"/>
      <c r="H26" s="55"/>
      <c r="I26" s="55"/>
      <c r="J26" s="29">
        <f>IF($C26="Y",'SETUP &amp; TARGETS'!$C$7,0)</f>
        <v>18</v>
      </c>
      <c r="K26" s="29">
        <f t="shared" si="2"/>
        <v>360</v>
      </c>
      <c r="L26" s="29">
        <f t="shared" si="3"/>
        <v>0</v>
      </c>
      <c r="M26" s="27">
        <f t="shared" si="1"/>
        <v>0</v>
      </c>
      <c r="N26" s="27" t="str">
        <f>IF($F26="","",IFERROR($F26/'SETUP &amp; TARGETS'!$C7,0))</f>
        <v/>
      </c>
      <c r="O26" s="27" t="str">
        <f>IF(OR($C26&lt;&gt;"Y",COUNT($D26,$E26,$H26,$I26)=0),"",MAX(0,IFERROR(('SETUP &amp; TARGETS'!$C$10-N($I26))/'SETUP &amp; TARGETS'!$C$10,0)))</f>
        <v/>
      </c>
      <c r="P26" s="22" t="str">
        <f>IF($K26=0,"",IF($M26&gt;='SETUP &amp; TARGETS'!$C11,"GREEN",IF($M26&gt;='SETUP &amp; TARGETS'!$C13,"AMBER","RED")))</f>
        <v>RED</v>
      </c>
      <c r="Q26" s="56" t="str">
        <f>IFERROR(INDEX('DELAY CODE REGISTER'!$C$6:$C$49,MATCH(G26,'DELAY CODE REGISTER'!$B$6:$B$49,0)),"")</f>
        <v/>
      </c>
    </row>
    <row r="27" spans="2:17" ht="14.25" customHeight="1" x14ac:dyDescent="0.3">
      <c r="B27" s="53">
        <v>46286</v>
      </c>
      <c r="C27" s="54" t="s">
        <v>173</v>
      </c>
      <c r="D27" s="55"/>
      <c r="E27" s="55"/>
      <c r="F27" s="29" t="str">
        <f t="shared" si="0"/>
        <v/>
      </c>
      <c r="G27" s="55"/>
      <c r="H27" s="55"/>
      <c r="I27" s="55"/>
      <c r="J27" s="29">
        <f>IF($C27="Y",'SETUP &amp; TARGETS'!$C$7,0)</f>
        <v>18</v>
      </c>
      <c r="K27" s="29">
        <f t="shared" si="2"/>
        <v>378</v>
      </c>
      <c r="L27" s="29">
        <f t="shared" si="3"/>
        <v>0</v>
      </c>
      <c r="M27" s="27">
        <f t="shared" si="1"/>
        <v>0</v>
      </c>
      <c r="N27" s="27" t="str">
        <f>IF($F27="","",IFERROR($F27/'SETUP &amp; TARGETS'!$C7,0))</f>
        <v/>
      </c>
      <c r="O27" s="27" t="str">
        <f>IF(OR($C27&lt;&gt;"Y",COUNT($D27,$E27,$H27,$I27)=0),"",MAX(0,IFERROR(('SETUP &amp; TARGETS'!$C$10-N($I27))/'SETUP &amp; TARGETS'!$C$10,0)))</f>
        <v/>
      </c>
      <c r="P27" s="22" t="str">
        <f>IF($K27=0,"",IF($M27&gt;='SETUP &amp; TARGETS'!$C11,"GREEN",IF($M27&gt;='SETUP &amp; TARGETS'!$C13,"AMBER","RED")))</f>
        <v>RED</v>
      </c>
      <c r="Q27" s="56" t="str">
        <f>IFERROR(INDEX('DELAY CODE REGISTER'!$C$6:$C$49,MATCH(G27,'DELAY CODE REGISTER'!$B$6:$B$49,0)),"")</f>
        <v/>
      </c>
    </row>
    <row r="28" spans="2:17" ht="14.25" customHeight="1" x14ac:dyDescent="0.3">
      <c r="B28" s="53">
        <v>46287</v>
      </c>
      <c r="C28" s="54" t="s">
        <v>173</v>
      </c>
      <c r="D28" s="55"/>
      <c r="E28" s="55"/>
      <c r="F28" s="29" t="str">
        <f t="shared" si="0"/>
        <v/>
      </c>
      <c r="G28" s="55"/>
      <c r="H28" s="55"/>
      <c r="I28" s="55"/>
      <c r="J28" s="29">
        <f>IF($C28="Y",'SETUP &amp; TARGETS'!$C$7,0)</f>
        <v>18</v>
      </c>
      <c r="K28" s="29">
        <f t="shared" si="2"/>
        <v>396</v>
      </c>
      <c r="L28" s="29">
        <f t="shared" si="3"/>
        <v>0</v>
      </c>
      <c r="M28" s="27">
        <f t="shared" si="1"/>
        <v>0</v>
      </c>
      <c r="N28" s="27" t="str">
        <f>IF($F28="","",IFERROR($F28/'SETUP &amp; TARGETS'!$C7,0))</f>
        <v/>
      </c>
      <c r="O28" s="27" t="str">
        <f>IF(OR($C28&lt;&gt;"Y",COUNT($D28,$E28,$H28,$I28)=0),"",MAX(0,IFERROR(('SETUP &amp; TARGETS'!$C$10-N($I28))/'SETUP &amp; TARGETS'!$C$10,0)))</f>
        <v/>
      </c>
      <c r="P28" s="22" t="str">
        <f>IF($K28=0,"",IF($M28&gt;='SETUP &amp; TARGETS'!$C11,"GREEN",IF($M28&gt;='SETUP &amp; TARGETS'!$C13,"AMBER","RED")))</f>
        <v>RED</v>
      </c>
      <c r="Q28" s="56" t="str">
        <f>IFERROR(INDEX('DELAY CODE REGISTER'!$C$6:$C$49,MATCH(G28,'DELAY CODE REGISTER'!$B$6:$B$49,0)),"")</f>
        <v/>
      </c>
    </row>
    <row r="29" spans="2:17" ht="14.25" customHeight="1" x14ac:dyDescent="0.3">
      <c r="B29" s="53">
        <v>46288</v>
      </c>
      <c r="C29" s="54" t="s">
        <v>173</v>
      </c>
      <c r="D29" s="55"/>
      <c r="E29" s="55"/>
      <c r="F29" s="29" t="str">
        <f t="shared" si="0"/>
        <v/>
      </c>
      <c r="G29" s="55"/>
      <c r="H29" s="55"/>
      <c r="I29" s="55"/>
      <c r="J29" s="29">
        <f>IF($C29="Y",'SETUP &amp; TARGETS'!$C$7,0)</f>
        <v>18</v>
      </c>
      <c r="K29" s="29">
        <f t="shared" si="2"/>
        <v>414</v>
      </c>
      <c r="L29" s="29">
        <f t="shared" si="3"/>
        <v>0</v>
      </c>
      <c r="M29" s="27">
        <f t="shared" si="1"/>
        <v>0</v>
      </c>
      <c r="N29" s="27" t="str">
        <f>IF($F29="","",IFERROR($F29/'SETUP &amp; TARGETS'!$C7,0))</f>
        <v/>
      </c>
      <c r="O29" s="27" t="str">
        <f>IF(OR($C29&lt;&gt;"Y",COUNT($D29,$E29,$H29,$I29)=0),"",MAX(0,IFERROR(('SETUP &amp; TARGETS'!$C$10-N($I29))/'SETUP &amp; TARGETS'!$C$10,0)))</f>
        <v/>
      </c>
      <c r="P29" s="22" t="str">
        <f>IF($K29=0,"",IF($M29&gt;='SETUP &amp; TARGETS'!$C11,"GREEN",IF($M29&gt;='SETUP &amp; TARGETS'!$C13,"AMBER","RED")))</f>
        <v>RED</v>
      </c>
      <c r="Q29" s="56" t="str">
        <f>IFERROR(INDEX('DELAY CODE REGISTER'!$C$6:$C$49,MATCH(G29,'DELAY CODE REGISTER'!$B$6:$B$49,0)),"")</f>
        <v/>
      </c>
    </row>
    <row r="30" spans="2:17" ht="14.25" customHeight="1" x14ac:dyDescent="0.3">
      <c r="B30" s="53">
        <v>46289</v>
      </c>
      <c r="C30" s="54" t="s">
        <v>173</v>
      </c>
      <c r="D30" s="55"/>
      <c r="E30" s="55"/>
      <c r="F30" s="29" t="str">
        <f t="shared" si="0"/>
        <v/>
      </c>
      <c r="G30" s="55"/>
      <c r="H30" s="55"/>
      <c r="I30" s="55"/>
      <c r="J30" s="29">
        <f>IF($C30="Y",'SETUP &amp; TARGETS'!$C$7,0)</f>
        <v>18</v>
      </c>
      <c r="K30" s="29">
        <f t="shared" si="2"/>
        <v>432</v>
      </c>
      <c r="L30" s="29">
        <f t="shared" si="3"/>
        <v>0</v>
      </c>
      <c r="M30" s="27">
        <f t="shared" si="1"/>
        <v>0</v>
      </c>
      <c r="N30" s="27" t="str">
        <f>IF($F30="","",IFERROR($F30/'SETUP &amp; TARGETS'!$C7,0))</f>
        <v/>
      </c>
      <c r="O30" s="27" t="str">
        <f>IF(OR($C30&lt;&gt;"Y",COUNT($D30,$E30,$H30,$I30)=0),"",MAX(0,IFERROR(('SETUP &amp; TARGETS'!$C$10-N($I30))/'SETUP &amp; TARGETS'!$C$10,0)))</f>
        <v/>
      </c>
      <c r="P30" s="22" t="str">
        <f>IF($K30=0,"",IF($M30&gt;='SETUP &amp; TARGETS'!$C11,"GREEN",IF($M30&gt;='SETUP &amp; TARGETS'!$C13,"AMBER","RED")))</f>
        <v>RED</v>
      </c>
      <c r="Q30" s="56" t="str">
        <f>IFERROR(INDEX('DELAY CODE REGISTER'!$C$6:$C$49,MATCH(G30,'DELAY CODE REGISTER'!$B$6:$B$49,0)),"")</f>
        <v/>
      </c>
    </row>
    <row r="31" spans="2:17" ht="14.25" customHeight="1" x14ac:dyDescent="0.3">
      <c r="B31" s="53">
        <v>46290</v>
      </c>
      <c r="C31" s="54" t="s">
        <v>173</v>
      </c>
      <c r="D31" s="55"/>
      <c r="E31" s="55"/>
      <c r="F31" s="29" t="str">
        <f t="shared" si="0"/>
        <v/>
      </c>
      <c r="G31" s="55"/>
      <c r="H31" s="55"/>
      <c r="I31" s="55"/>
      <c r="J31" s="29">
        <f>IF($C31="Y",'SETUP &amp; TARGETS'!$C$7,0)</f>
        <v>18</v>
      </c>
      <c r="K31" s="29">
        <f t="shared" si="2"/>
        <v>450</v>
      </c>
      <c r="L31" s="29">
        <f t="shared" si="3"/>
        <v>0</v>
      </c>
      <c r="M31" s="27">
        <f t="shared" si="1"/>
        <v>0</v>
      </c>
      <c r="N31" s="27" t="str">
        <f>IF($F31="","",IFERROR($F31/'SETUP &amp; TARGETS'!$C7,0))</f>
        <v/>
      </c>
      <c r="O31" s="27" t="str">
        <f>IF(OR($C31&lt;&gt;"Y",COUNT($D31,$E31,$H31,$I31)=0),"",MAX(0,IFERROR(('SETUP &amp; TARGETS'!$C$10-N($I31))/'SETUP &amp; TARGETS'!$C$10,0)))</f>
        <v/>
      </c>
      <c r="P31" s="22" t="str">
        <f>IF($K31=0,"",IF($M31&gt;='SETUP &amp; TARGETS'!$C11,"GREEN",IF($M31&gt;='SETUP &amp; TARGETS'!$C13,"AMBER","RED")))</f>
        <v>RED</v>
      </c>
      <c r="Q31" s="56" t="str">
        <f>IFERROR(INDEX('DELAY CODE REGISTER'!$C$6:$C$49,MATCH(G31,'DELAY CODE REGISTER'!$B$6:$B$49,0)),"")</f>
        <v/>
      </c>
    </row>
    <row r="32" spans="2:17" ht="14.25" customHeight="1" x14ac:dyDescent="0.3">
      <c r="B32" s="53">
        <v>46291</v>
      </c>
      <c r="C32" s="54" t="s">
        <v>173</v>
      </c>
      <c r="D32" s="55"/>
      <c r="E32" s="55"/>
      <c r="F32" s="29" t="str">
        <f t="shared" si="0"/>
        <v/>
      </c>
      <c r="G32" s="55"/>
      <c r="H32" s="55"/>
      <c r="I32" s="55"/>
      <c r="J32" s="29">
        <f>IF($C32="Y",'SETUP &amp; TARGETS'!$C$7,0)</f>
        <v>18</v>
      </c>
      <c r="K32" s="29">
        <f t="shared" si="2"/>
        <v>468</v>
      </c>
      <c r="L32" s="29">
        <f t="shared" si="3"/>
        <v>0</v>
      </c>
      <c r="M32" s="27">
        <f t="shared" si="1"/>
        <v>0</v>
      </c>
      <c r="N32" s="27" t="str">
        <f>IF($F32="","",IFERROR($F32/'SETUP &amp; TARGETS'!$C7,0))</f>
        <v/>
      </c>
      <c r="O32" s="27" t="str">
        <f>IF(OR($C32&lt;&gt;"Y",COUNT($D32,$E32,$H32,$I32)=0),"",MAX(0,IFERROR(('SETUP &amp; TARGETS'!$C$10-N($I32))/'SETUP &amp; TARGETS'!$C$10,0)))</f>
        <v/>
      </c>
      <c r="P32" s="22" t="str">
        <f>IF($K32=0,"",IF($M32&gt;='SETUP &amp; TARGETS'!$C11,"GREEN",IF($M32&gt;='SETUP &amp; TARGETS'!$C13,"AMBER","RED")))</f>
        <v>RED</v>
      </c>
      <c r="Q32" s="56" t="str">
        <f>IFERROR(INDEX('DELAY CODE REGISTER'!$C$6:$C$49,MATCH(G32,'DELAY CODE REGISTER'!$B$6:$B$49,0)),"")</f>
        <v/>
      </c>
    </row>
    <row r="33" spans="2:17" ht="14.25" customHeight="1" x14ac:dyDescent="0.3">
      <c r="B33" s="53">
        <v>46292</v>
      </c>
      <c r="C33" s="54" t="s">
        <v>173</v>
      </c>
      <c r="D33" s="55"/>
      <c r="E33" s="55"/>
      <c r="F33" s="29" t="str">
        <f t="shared" si="0"/>
        <v/>
      </c>
      <c r="G33" s="55"/>
      <c r="H33" s="55"/>
      <c r="I33" s="55"/>
      <c r="J33" s="29">
        <f>IF($C33="Y",'SETUP &amp; TARGETS'!$C$7,0)</f>
        <v>18</v>
      </c>
      <c r="K33" s="29">
        <f t="shared" si="2"/>
        <v>486</v>
      </c>
      <c r="L33" s="29">
        <f t="shared" si="3"/>
        <v>0</v>
      </c>
      <c r="M33" s="27">
        <f t="shared" si="1"/>
        <v>0</v>
      </c>
      <c r="N33" s="27" t="str">
        <f>IF($F33="","",IFERROR($F33/'SETUP &amp; TARGETS'!$C7,0))</f>
        <v/>
      </c>
      <c r="O33" s="27" t="str">
        <f>IF(OR($C33&lt;&gt;"Y",COUNT($D33,$E33,$H33,$I33)=0),"",MAX(0,IFERROR(('SETUP &amp; TARGETS'!$C$10-N($I33))/'SETUP &amp; TARGETS'!$C$10,0)))</f>
        <v/>
      </c>
      <c r="P33" s="22" t="str">
        <f>IF($K33=0,"",IF($M33&gt;='SETUP &amp; TARGETS'!$C11,"GREEN",IF($M33&gt;='SETUP &amp; TARGETS'!$C13,"AMBER","RED")))</f>
        <v>RED</v>
      </c>
      <c r="Q33" s="56" t="str">
        <f>IFERROR(INDEX('DELAY CODE REGISTER'!$C$6:$C$49,MATCH(G33,'DELAY CODE REGISTER'!$B$6:$B$49,0)),"")</f>
        <v/>
      </c>
    </row>
    <row r="34" spans="2:17" ht="14.25" customHeight="1" x14ac:dyDescent="0.3">
      <c r="B34" s="53">
        <v>46293</v>
      </c>
      <c r="C34" s="54" t="s">
        <v>173</v>
      </c>
      <c r="D34" s="55"/>
      <c r="E34" s="55"/>
      <c r="F34" s="29" t="str">
        <f t="shared" si="0"/>
        <v/>
      </c>
      <c r="G34" s="55"/>
      <c r="H34" s="55"/>
      <c r="I34" s="55"/>
      <c r="J34" s="29">
        <f>IF($C34="Y",'SETUP &amp; TARGETS'!$C$7,0)</f>
        <v>18</v>
      </c>
      <c r="K34" s="29">
        <f t="shared" si="2"/>
        <v>504</v>
      </c>
      <c r="L34" s="29">
        <f t="shared" si="3"/>
        <v>0</v>
      </c>
      <c r="M34" s="27">
        <f t="shared" si="1"/>
        <v>0</v>
      </c>
      <c r="N34" s="27" t="str">
        <f>IF($F34="","",IFERROR($F34/'SETUP &amp; TARGETS'!$C7,0))</f>
        <v/>
      </c>
      <c r="O34" s="27" t="str">
        <f>IF(OR($C34&lt;&gt;"Y",COUNT($D34,$E34,$H34,$I34)=0),"",MAX(0,IFERROR(('SETUP &amp; TARGETS'!$C$10-N($I34))/'SETUP &amp; TARGETS'!$C$10,0)))</f>
        <v/>
      </c>
      <c r="P34" s="22" t="str">
        <f>IF($K34=0,"",IF($M34&gt;='SETUP &amp; TARGETS'!$C11,"GREEN",IF($M34&gt;='SETUP &amp; TARGETS'!$C13,"AMBER","RED")))</f>
        <v>RED</v>
      </c>
      <c r="Q34" s="56" t="str">
        <f>IFERROR(INDEX('DELAY CODE REGISTER'!$C$6:$C$49,MATCH(G34,'DELAY CODE REGISTER'!$B$6:$B$49,0)),"")</f>
        <v/>
      </c>
    </row>
    <row r="35" spans="2:17" ht="14.25" customHeight="1" x14ac:dyDescent="0.3">
      <c r="B35" s="53">
        <v>46294</v>
      </c>
      <c r="C35" s="54" t="s">
        <v>173</v>
      </c>
      <c r="D35" s="55"/>
      <c r="E35" s="55"/>
      <c r="F35" s="29" t="str">
        <f t="shared" si="0"/>
        <v/>
      </c>
      <c r="G35" s="55"/>
      <c r="H35" s="55"/>
      <c r="I35" s="55"/>
      <c r="J35" s="29">
        <f>IF($C35="Y",'SETUP &amp; TARGETS'!$C$7,0)</f>
        <v>18</v>
      </c>
      <c r="K35" s="29">
        <f t="shared" si="2"/>
        <v>522</v>
      </c>
      <c r="L35" s="29">
        <f t="shared" si="3"/>
        <v>0</v>
      </c>
      <c r="M35" s="27">
        <f t="shared" si="1"/>
        <v>0</v>
      </c>
      <c r="N35" s="27" t="str">
        <f>IF($F35="","",IFERROR($F35/'SETUP &amp; TARGETS'!$C7,0))</f>
        <v/>
      </c>
      <c r="O35" s="27" t="str">
        <f>IF(OR($C35&lt;&gt;"Y",COUNT($D35,$E35,$H35,$I35)=0),"",MAX(0,IFERROR(('SETUP &amp; TARGETS'!$C$10-N($I35))/'SETUP &amp; TARGETS'!$C$10,0)))</f>
        <v/>
      </c>
      <c r="P35" s="22" t="str">
        <f>IF($K35=0,"",IF($M35&gt;='SETUP &amp; TARGETS'!$C11,"GREEN",IF($M35&gt;='SETUP &amp; TARGETS'!$C13,"AMBER","RED")))</f>
        <v>RED</v>
      </c>
      <c r="Q35" s="56" t="str">
        <f>IFERROR(INDEX('DELAY CODE REGISTER'!$C$6:$C$49,MATCH(G35,'DELAY CODE REGISTER'!$B$6:$B$49,0)),"")</f>
        <v/>
      </c>
    </row>
    <row r="36" spans="2:17" ht="14.25" customHeight="1" x14ac:dyDescent="0.3">
      <c r="B36" s="53">
        <v>46295</v>
      </c>
      <c r="C36" s="54" t="s">
        <v>173</v>
      </c>
      <c r="D36" s="55"/>
      <c r="E36" s="55"/>
      <c r="F36" s="29" t="str">
        <f t="shared" si="0"/>
        <v/>
      </c>
      <c r="G36" s="55"/>
      <c r="H36" s="55"/>
      <c r="I36" s="55"/>
      <c r="J36" s="29">
        <f>IF($C36="Y",'SETUP &amp; TARGETS'!$C$7,0)</f>
        <v>18</v>
      </c>
      <c r="K36" s="29">
        <f t="shared" si="2"/>
        <v>540</v>
      </c>
      <c r="L36" s="29">
        <f t="shared" si="3"/>
        <v>0</v>
      </c>
      <c r="M36" s="27">
        <f t="shared" si="1"/>
        <v>0</v>
      </c>
      <c r="N36" s="27" t="str">
        <f>IF($F36="","",IFERROR($F36/'SETUP &amp; TARGETS'!$C7,0))</f>
        <v/>
      </c>
      <c r="O36" s="27" t="str">
        <f>IF(OR($C36&lt;&gt;"Y",COUNT($D36,$E36,$H36,$I36)=0),"",MAX(0,IFERROR(('SETUP &amp; TARGETS'!$C$10-N($I36))/'SETUP &amp; TARGETS'!$C$10,0)))</f>
        <v/>
      </c>
      <c r="P36" s="22" t="str">
        <f>IF($K36=0,"",IF($M36&gt;='SETUP &amp; TARGETS'!$C11,"GREEN",IF($M36&gt;='SETUP &amp; TARGETS'!$C13,"AMBER","RED")))</f>
        <v>RED</v>
      </c>
      <c r="Q36" s="56" t="str">
        <f>IFERROR(INDEX('DELAY CODE REGISTER'!$C$6:$C$49,MATCH(G36,'DELAY CODE REGISTER'!$B$6:$B$49,0)),"")</f>
        <v/>
      </c>
    </row>
    <row r="37" spans="2:17" ht="14.25" customHeight="1" x14ac:dyDescent="0.3">
      <c r="B37" s="53"/>
      <c r="C37" s="54" t="s">
        <v>173</v>
      </c>
      <c r="D37" s="55"/>
      <c r="E37" s="55"/>
      <c r="F37" s="29" t="str">
        <f t="shared" si="0"/>
        <v/>
      </c>
      <c r="G37" s="55"/>
      <c r="H37" s="55"/>
      <c r="I37" s="55"/>
      <c r="J37" s="29">
        <f>IF($C37="Y",'SETUP &amp; TARGETS'!$C$7,0)</f>
        <v>18</v>
      </c>
      <c r="K37" s="29">
        <f>$K36+$J37</f>
        <v>558</v>
      </c>
      <c r="L37" s="29">
        <f>$L36+N($F37)</f>
        <v>0</v>
      </c>
      <c r="M37" s="27">
        <f t="shared" si="1"/>
        <v>0</v>
      </c>
      <c r="N37" s="27" t="str">
        <f>IF($F37="","",IFERROR($F37/'SETUP &amp; TARGETS'!$C7,0))</f>
        <v/>
      </c>
      <c r="O37" s="27" t="str">
        <f>IF(OR($C37&lt;&gt;"Y",COUNT($D37,$E37,$H37,$I37)=0),"",MAX(0,IFERROR(('SETUP &amp; TARGETS'!$C$10-N($I37))/'SETUP &amp; TARGETS'!$C$10,0)))</f>
        <v/>
      </c>
      <c r="P37" s="22" t="str">
        <f>IF($K37=0,"",IF($M37&gt;='SETUP &amp; TARGETS'!$C11,"GREEN",IF($M37&gt;='SETUP &amp; TARGETS'!$C13,"AMBER","RED")))</f>
        <v>RED</v>
      </c>
      <c r="Q37" s="56" t="str">
        <f>IFERROR(INDEX('DELAY CODE REGISTER'!$C$6:$C$49,MATCH(G37,'DELAY CODE REGISTER'!$B$6:$B$49,0)),"")</f>
        <v/>
      </c>
    </row>
    <row r="38" spans="2:17" ht="14.25" customHeight="1" x14ac:dyDescent="0.3">
      <c r="B38" s="23" t="s">
        <v>177</v>
      </c>
      <c r="C38" s="23"/>
      <c r="D38" s="23"/>
      <c r="E38" s="23"/>
      <c r="F38" s="24">
        <f>SUM(F7:F37)</f>
        <v>0</v>
      </c>
      <c r="G38" s="23"/>
      <c r="H38" s="24">
        <f>SUM(H7:H37)</f>
        <v>0</v>
      </c>
      <c r="I38" s="24">
        <f>SUM(I7:I37)</f>
        <v>270</v>
      </c>
      <c r="J38" s="24">
        <f>SUM(J7:J37)</f>
        <v>558</v>
      </c>
      <c r="K38" s="24">
        <f>K37</f>
        <v>558</v>
      </c>
      <c r="L38" s="24">
        <f>L37</f>
        <v>0</v>
      </c>
      <c r="M38" s="26">
        <f>IFERROR(L38/K38,0)</f>
        <v>0</v>
      </c>
      <c r="N38" s="26">
        <f>IFERROR(F38/'SETUP &amp; TARGETS'!$C9,0)</f>
        <v>0</v>
      </c>
      <c r="O38" s="26">
        <f>IF(COUNT(O7:O37)=0,0,AVERAGE(O7:O37))</f>
        <v>0</v>
      </c>
      <c r="P38" s="23"/>
      <c r="Q38" s="23"/>
    </row>
  </sheetData>
  <conditionalFormatting sqref="P7:P37">
    <cfRule type="cellIs" dxfId="42" priority="2" operator="equal">
      <formula>"GREEN"</formula>
    </cfRule>
    <cfRule type="cellIs" dxfId="41" priority="3" operator="equal">
      <formula>"AMBER"</formula>
    </cfRule>
    <cfRule type="cellIs" dxfId="40" priority="4" operator="equal">
      <formula>"RED"</formula>
    </cfRule>
  </conditionalFormatting>
  <dataValidations count="2">
    <dataValidation type="list" allowBlank="1" sqref="C7:C37" xr:uid="{00000000-0002-0000-0400-000000000000}">
      <formula1>"Y,N"</formula1>
      <formula2>0</formula2>
    </dataValidation>
    <dataValidation type="custom" allowBlank="1" showInputMessage="1" showErrorMessage="1" sqref="E7:E37" xr:uid="{00000000-0002-0000-0400-000001000000}">
      <formula1>OR(E7="",E7&gt;=D7)</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400-000002000000}">
          <x14:formula1>
            <xm:f>'DELAY CODE REGISTER'!$B$6:$B$49</xm:f>
          </x14:formula1>
          <x14:formula2>
            <xm:f>0</xm:f>
          </x14:formula2>
          <xm:sqref>G7:G37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Q38"/>
  <sheetViews>
    <sheetView showGridLines="0" zoomScale="98" zoomScaleNormal="98" workbookViewId="0">
      <pane xSplit="1" ySplit="6" topLeftCell="B7" activePane="bottomRight" state="frozen"/>
      <selection pane="topRight" activeCell="B1" sqref="B1"/>
      <selection pane="bottomLeft" activeCell="A7" sqref="A7"/>
      <selection pane="bottomRight" activeCell="G9" sqref="G9"/>
    </sheetView>
  </sheetViews>
  <sheetFormatPr defaultColWidth="8.6640625" defaultRowHeight="14.4" x14ac:dyDescent="0.3"/>
  <cols>
    <col min="2" max="2" width="39.5546875" customWidth="1"/>
    <col min="3" max="3" width="11" customWidth="1"/>
    <col min="4" max="4" width="12.5546875" customWidth="1"/>
    <col min="5" max="5" width="13" customWidth="1"/>
    <col min="6" max="7" width="10" customWidth="1"/>
    <col min="8" max="8" width="12" customWidth="1"/>
    <col min="9" max="10" width="10" customWidth="1"/>
    <col min="11" max="13" width="9" customWidth="1"/>
    <col min="14" max="14" width="10" customWidth="1"/>
    <col min="15" max="16" width="9" customWidth="1"/>
    <col min="17" max="17" width="63.33203125" customWidth="1"/>
    <col min="18" max="18" width="46" customWidth="1"/>
  </cols>
  <sheetData>
    <row r="2" spans="2:17" ht="18" customHeight="1" x14ac:dyDescent="0.35">
      <c r="B2" s="13" t="s">
        <v>178</v>
      </c>
    </row>
    <row r="3" spans="2:17" ht="14.25" customHeight="1" x14ac:dyDescent="0.3">
      <c r="B3" s="14" t="s">
        <v>43</v>
      </c>
    </row>
    <row r="4" spans="2:17" ht="14.25" customHeight="1" x14ac:dyDescent="0.3">
      <c r="B4" s="15"/>
    </row>
    <row r="6" spans="2:17" ht="39.75" customHeight="1" x14ac:dyDescent="0.3">
      <c r="B6" s="16" t="s">
        <v>159</v>
      </c>
      <c r="C6" s="16" t="s">
        <v>160</v>
      </c>
      <c r="D6" s="16" t="s">
        <v>161</v>
      </c>
      <c r="E6" s="16" t="s">
        <v>162</v>
      </c>
      <c r="F6" s="16" t="s">
        <v>163</v>
      </c>
      <c r="G6" s="16" t="s">
        <v>164</v>
      </c>
      <c r="H6" s="16" t="s">
        <v>165</v>
      </c>
      <c r="I6" s="16" t="s">
        <v>87</v>
      </c>
      <c r="J6" s="16" t="s">
        <v>166</v>
      </c>
      <c r="K6" s="16" t="s">
        <v>167</v>
      </c>
      <c r="L6" s="16" t="s">
        <v>168</v>
      </c>
      <c r="M6" s="16" t="s">
        <v>169</v>
      </c>
      <c r="N6" s="16" t="s">
        <v>170</v>
      </c>
      <c r="O6" s="16" t="s">
        <v>171</v>
      </c>
      <c r="P6" s="16" t="s">
        <v>95</v>
      </c>
      <c r="Q6" s="16" t="s">
        <v>172</v>
      </c>
    </row>
    <row r="7" spans="2:17" ht="14.25" customHeight="1" x14ac:dyDescent="0.3">
      <c r="B7" s="53">
        <v>46266</v>
      </c>
      <c r="C7" s="54" t="s">
        <v>173</v>
      </c>
      <c r="D7" s="55">
        <v>10208</v>
      </c>
      <c r="E7" s="55">
        <v>10225</v>
      </c>
      <c r="F7" s="29">
        <f t="shared" ref="F7:F37" si="0">IF(OR($E7="",$D7=""),"",MAX(0,$E7-$D7))</f>
        <v>17</v>
      </c>
      <c r="G7" s="55" t="s">
        <v>181</v>
      </c>
      <c r="H7" s="55">
        <v>1</v>
      </c>
      <c r="I7" s="55"/>
      <c r="J7" s="29">
        <f>IF($C7="Y",'SETUP &amp; TARGETS'!$C7,0)</f>
        <v>18</v>
      </c>
      <c r="K7" s="29">
        <f>0+$J7</f>
        <v>18</v>
      </c>
      <c r="L7" s="29">
        <f>0+N($F7)</f>
        <v>17</v>
      </c>
      <c r="M7" s="27">
        <f t="shared" ref="M7:M37" si="1">IFERROR($L7/$K7,0)</f>
        <v>0.94444444444444442</v>
      </c>
      <c r="N7" s="27">
        <f>IF($F7="","",IFERROR($F7/'SETUP &amp; TARGETS'!$C7,0))</f>
        <v>0.94444444444444442</v>
      </c>
      <c r="O7" s="27">
        <f>IF(OR($C7&lt;&gt;"Y",COUNT($D7,$E7,$H7,$I7)=0),"",MAX(0,IFERROR(('SETUP &amp; TARGETS'!$C$10-N($I7))/'SETUP &amp; TARGETS'!$C$10,0)))</f>
        <v>1</v>
      </c>
      <c r="P7" s="22" t="str">
        <f>IF($K7=0,"",IF($M7&gt;='SETUP &amp; TARGETS'!$C11,"GREEN",IF($M7&gt;='SETUP &amp; TARGETS'!$C13,"AMBER","RED")))</f>
        <v>GREEN</v>
      </c>
      <c r="Q7" s="56" t="str">
        <f>IFERROR(INDEX('DELAY CODE REGISTER'!$C$6:$C$49,MATCH(G7,'DELAY CODE REGISTER'!$B$6:$B$49,0)),"")</f>
        <v>Under Utilization</v>
      </c>
    </row>
    <row r="8" spans="2:17" ht="14.25" customHeight="1" x14ac:dyDescent="0.3">
      <c r="B8" s="53">
        <v>46267</v>
      </c>
      <c r="C8" s="54" t="s">
        <v>173</v>
      </c>
      <c r="D8" s="55">
        <v>10225</v>
      </c>
      <c r="E8" s="55">
        <v>10243</v>
      </c>
      <c r="F8" s="29">
        <f t="shared" si="0"/>
        <v>18</v>
      </c>
      <c r="G8" s="55" t="s">
        <v>181</v>
      </c>
      <c r="H8" s="55">
        <v>0</v>
      </c>
      <c r="I8" s="55"/>
      <c r="J8" s="29">
        <f>IF($C8="Y",'SETUP &amp; TARGETS'!$C7,0)</f>
        <v>18</v>
      </c>
      <c r="K8" s="29">
        <f t="shared" ref="K8:K37" si="2">$K7+$J8</f>
        <v>36</v>
      </c>
      <c r="L8" s="29">
        <f t="shared" ref="L8:L37" si="3">$L7+N($F8)</f>
        <v>35</v>
      </c>
      <c r="M8" s="27">
        <f t="shared" si="1"/>
        <v>0.97222222222222221</v>
      </c>
      <c r="N8" s="27">
        <f>IF($F8="","",IFERROR($F8/'SETUP &amp; TARGETS'!$C7,0))</f>
        <v>1</v>
      </c>
      <c r="O8" s="27">
        <f>IF(OR($C8&lt;&gt;"Y",COUNT($D8,$E8,$H8,$I8)=0),"",MAX(0,IFERROR(('SETUP &amp; TARGETS'!$C$10-N($I8))/'SETUP &amp; TARGETS'!$C$10,0)))</f>
        <v>1</v>
      </c>
      <c r="P8" s="22" t="str">
        <f>IF($K8=0,"",IF($M8&gt;='SETUP &amp; TARGETS'!$C11,"GREEN",IF($M8&gt;='SETUP &amp; TARGETS'!$C13,"AMBER","RED")))</f>
        <v>GREEN</v>
      </c>
      <c r="Q8" s="56" t="str">
        <f>IFERROR(INDEX('DELAY CODE REGISTER'!$C$6:$C$49,MATCH(G8,'DELAY CODE REGISTER'!$B$6:$B$49,0)),"")</f>
        <v>Under Utilization</v>
      </c>
    </row>
    <row r="9" spans="2:17" ht="14.25" customHeight="1" x14ac:dyDescent="0.3">
      <c r="B9" s="53">
        <v>46268</v>
      </c>
      <c r="C9" s="54" t="s">
        <v>173</v>
      </c>
      <c r="D9" s="55">
        <v>10243</v>
      </c>
      <c r="E9" s="55">
        <v>10261</v>
      </c>
      <c r="F9" s="29">
        <f t="shared" si="0"/>
        <v>18</v>
      </c>
      <c r="G9" s="55" t="s">
        <v>181</v>
      </c>
      <c r="H9" s="55">
        <v>0</v>
      </c>
      <c r="I9" s="55"/>
      <c r="J9" s="29">
        <f>IF($C9="Y",'SETUP &amp; TARGETS'!$C7,0)</f>
        <v>18</v>
      </c>
      <c r="K9" s="29">
        <f t="shared" si="2"/>
        <v>54</v>
      </c>
      <c r="L9" s="29">
        <f t="shared" si="3"/>
        <v>53</v>
      </c>
      <c r="M9" s="27">
        <f t="shared" si="1"/>
        <v>0.98148148148148151</v>
      </c>
      <c r="N9" s="27">
        <f>IF($F9="","",IFERROR($F9/'SETUP &amp; TARGETS'!$C7,0))</f>
        <v>1</v>
      </c>
      <c r="O9" s="27">
        <f>IF(OR($C9&lt;&gt;"Y",COUNT($D9,$E9,$H9,$I9)=0),"",MAX(0,IFERROR(('SETUP &amp; TARGETS'!$C$10-N($I9))/'SETUP &amp; TARGETS'!$C$10,0)))</f>
        <v>1</v>
      </c>
      <c r="P9" s="22" t="str">
        <f>IF($K9=0,"",IF($M9&gt;='SETUP &amp; TARGETS'!$C11,"GREEN",IF($M9&gt;='SETUP &amp; TARGETS'!$C13,"AMBER","RED")))</f>
        <v>GREEN</v>
      </c>
      <c r="Q9" s="56" t="str">
        <f>IFERROR(INDEX('DELAY CODE REGISTER'!$C$6:$C$49,MATCH(G9,'DELAY CODE REGISTER'!$B$6:$B$49,0)),"")</f>
        <v>Under Utilization</v>
      </c>
    </row>
    <row r="10" spans="2:17" ht="14.25" customHeight="1" x14ac:dyDescent="0.3">
      <c r="B10" s="53">
        <v>46269</v>
      </c>
      <c r="C10" s="54" t="s">
        <v>173</v>
      </c>
      <c r="D10" s="55">
        <v>10261</v>
      </c>
      <c r="E10" s="55">
        <v>10268</v>
      </c>
      <c r="F10" s="29">
        <f t="shared" si="0"/>
        <v>7</v>
      </c>
      <c r="G10" s="55" t="s">
        <v>181</v>
      </c>
      <c r="H10" s="55">
        <v>11</v>
      </c>
      <c r="I10" s="55"/>
      <c r="J10" s="29">
        <f>IF($C10="Y",'SETUP &amp; TARGETS'!$C7,0)</f>
        <v>18</v>
      </c>
      <c r="K10" s="29">
        <f t="shared" si="2"/>
        <v>72</v>
      </c>
      <c r="L10" s="29">
        <f t="shared" si="3"/>
        <v>60</v>
      </c>
      <c r="M10" s="27">
        <f t="shared" si="1"/>
        <v>0.83333333333333337</v>
      </c>
      <c r="N10" s="27">
        <f>IF($F10="","",IFERROR($F10/'SETUP &amp; TARGETS'!$C7,0))</f>
        <v>0.3888888888888889</v>
      </c>
      <c r="O10" s="27">
        <f>IF(OR($C10&lt;&gt;"Y",COUNT($D10,$E10,$H10,$I10)=0),"",MAX(0,IFERROR(('SETUP &amp; TARGETS'!$C$10-N($I10))/'SETUP &amp; TARGETS'!$C$10,0)))</f>
        <v>1</v>
      </c>
      <c r="P10" s="22" t="str">
        <f>IF($K10=0,"",IF($M10&gt;='SETUP &amp; TARGETS'!$C11,"GREEN",IF($M10&gt;='SETUP &amp; TARGETS'!$C13,"AMBER","RED")))</f>
        <v>GREEN</v>
      </c>
      <c r="Q10" s="56" t="str">
        <f>IFERROR(INDEX('DELAY CODE REGISTER'!$C$6:$C$49,MATCH(G10,'DELAY CODE REGISTER'!$B$6:$B$49,0)),"")</f>
        <v>Under Utilization</v>
      </c>
    </row>
    <row r="11" spans="2:17" ht="14.25" customHeight="1" x14ac:dyDescent="0.3">
      <c r="B11" s="53">
        <v>46270</v>
      </c>
      <c r="C11" s="54" t="s">
        <v>173</v>
      </c>
      <c r="D11" s="55">
        <v>10268</v>
      </c>
      <c r="E11" s="55">
        <v>10284</v>
      </c>
      <c r="F11" s="29">
        <f t="shared" si="0"/>
        <v>16</v>
      </c>
      <c r="G11" s="55" t="s">
        <v>181</v>
      </c>
      <c r="H11" s="55">
        <v>2</v>
      </c>
      <c r="I11" s="55"/>
      <c r="J11" s="29">
        <f>IF($C11="Y",'SETUP &amp; TARGETS'!$C7,0)</f>
        <v>18</v>
      </c>
      <c r="K11" s="29">
        <f t="shared" si="2"/>
        <v>90</v>
      </c>
      <c r="L11" s="29">
        <f t="shared" si="3"/>
        <v>76</v>
      </c>
      <c r="M11" s="27">
        <f t="shared" si="1"/>
        <v>0.84444444444444444</v>
      </c>
      <c r="N11" s="27">
        <f>IF($F11="","",IFERROR($F11/'SETUP &amp; TARGETS'!$C7,0))</f>
        <v>0.88888888888888884</v>
      </c>
      <c r="O11" s="27">
        <f>IF(OR($C11&lt;&gt;"Y",COUNT($D11,$E11,$H11,$I11)=0),"",MAX(0,IFERROR(('SETUP &amp; TARGETS'!$C$10-N($I11))/'SETUP &amp; TARGETS'!$C$10,0)))</f>
        <v>1</v>
      </c>
      <c r="P11" s="22" t="str">
        <f>IF($K11=0,"",IF($M11&gt;='SETUP &amp; TARGETS'!$C11,"GREEN",IF($M11&gt;='SETUP &amp; TARGETS'!$C13,"AMBER","RED")))</f>
        <v>GREEN</v>
      </c>
      <c r="Q11" s="56" t="str">
        <f>IFERROR(INDEX('DELAY CODE REGISTER'!$C$6:$C$49,MATCH(G11,'DELAY CODE REGISTER'!$B$6:$B$49,0)),"")</f>
        <v>Under Utilization</v>
      </c>
    </row>
    <row r="12" spans="2:17" ht="14.25" customHeight="1" x14ac:dyDescent="0.3">
      <c r="B12" s="53">
        <v>46271</v>
      </c>
      <c r="C12" s="54" t="s">
        <v>173</v>
      </c>
      <c r="D12" s="55">
        <v>10284</v>
      </c>
      <c r="E12" s="55">
        <v>10300</v>
      </c>
      <c r="F12" s="29">
        <f t="shared" si="0"/>
        <v>16</v>
      </c>
      <c r="G12" s="55" t="s">
        <v>181</v>
      </c>
      <c r="H12" s="55">
        <v>2</v>
      </c>
      <c r="I12" s="55"/>
      <c r="J12" s="29">
        <f>IF($C12="Y",'SETUP &amp; TARGETS'!$C7,0)</f>
        <v>18</v>
      </c>
      <c r="K12" s="29">
        <f t="shared" si="2"/>
        <v>108</v>
      </c>
      <c r="L12" s="29">
        <f t="shared" si="3"/>
        <v>92</v>
      </c>
      <c r="M12" s="27">
        <f t="shared" si="1"/>
        <v>0.85185185185185186</v>
      </c>
      <c r="N12" s="27">
        <f>IF($F12="","",IFERROR($F12/'SETUP &amp; TARGETS'!$C7,0))</f>
        <v>0.88888888888888884</v>
      </c>
      <c r="O12" s="27">
        <f>IF(OR($C12&lt;&gt;"Y",COUNT($D12,$E12,$H12,$I12)=0),"",MAX(0,IFERROR(('SETUP &amp; TARGETS'!$C$10-N($I12))/'SETUP &amp; TARGETS'!$C$10,0)))</f>
        <v>1</v>
      </c>
      <c r="P12" s="22" t="str">
        <f>IF($K12=0,"",IF($M12&gt;='SETUP &amp; TARGETS'!$C11,"GREEN",IF($M12&gt;='SETUP &amp; TARGETS'!$C13,"AMBER","RED")))</f>
        <v>GREEN</v>
      </c>
      <c r="Q12" s="56" t="str">
        <f>IFERROR(INDEX('DELAY CODE REGISTER'!$C$6:$C$49,MATCH(G12,'DELAY CODE REGISTER'!$B$6:$B$49,0)),"")</f>
        <v>Under Utilization</v>
      </c>
    </row>
    <row r="13" spans="2:17" ht="14.25" customHeight="1" x14ac:dyDescent="0.3">
      <c r="B13" s="53">
        <v>46272</v>
      </c>
      <c r="C13" s="54" t="s">
        <v>173</v>
      </c>
      <c r="D13" s="55">
        <v>10300</v>
      </c>
      <c r="E13" s="55">
        <v>10314</v>
      </c>
      <c r="F13" s="29">
        <f t="shared" si="0"/>
        <v>14</v>
      </c>
      <c r="G13" s="55" t="s">
        <v>181</v>
      </c>
      <c r="H13" s="55">
        <v>4</v>
      </c>
      <c r="I13" s="55"/>
      <c r="J13" s="29">
        <f>IF($C13="Y",'SETUP &amp; TARGETS'!$C7,0)</f>
        <v>18</v>
      </c>
      <c r="K13" s="29">
        <f t="shared" si="2"/>
        <v>126</v>
      </c>
      <c r="L13" s="29">
        <f t="shared" si="3"/>
        <v>106</v>
      </c>
      <c r="M13" s="27">
        <f t="shared" si="1"/>
        <v>0.84126984126984128</v>
      </c>
      <c r="N13" s="27">
        <f>IF($F13="","",IFERROR($F13/'SETUP &amp; TARGETS'!$C7,0))</f>
        <v>0.77777777777777779</v>
      </c>
      <c r="O13" s="27">
        <f>IF(OR($C13&lt;&gt;"Y",COUNT($D13,$E13,$H13,$I13)=0),"",MAX(0,IFERROR(('SETUP &amp; TARGETS'!$C$10-N($I13))/'SETUP &amp; TARGETS'!$C$10,0)))</f>
        <v>1</v>
      </c>
      <c r="P13" s="22" t="str">
        <f>IF($K13=0,"",IF($M13&gt;='SETUP &amp; TARGETS'!$C11,"GREEN",IF($M13&gt;='SETUP &amp; TARGETS'!$C13,"AMBER","RED")))</f>
        <v>GREEN</v>
      </c>
      <c r="Q13" s="56" t="str">
        <f>IFERROR(INDEX('DELAY CODE REGISTER'!$C$6:$C$49,MATCH(G13,'DELAY CODE REGISTER'!$B$6:$B$49,0)),"")</f>
        <v>Under Utilization</v>
      </c>
    </row>
    <row r="14" spans="2:17" ht="14.25" customHeight="1" x14ac:dyDescent="0.3">
      <c r="B14" s="53">
        <v>46273</v>
      </c>
      <c r="C14" s="54" t="s">
        <v>173</v>
      </c>
      <c r="D14" s="55">
        <v>10314</v>
      </c>
      <c r="E14" s="55">
        <v>10318</v>
      </c>
      <c r="F14" s="29">
        <f t="shared" si="0"/>
        <v>4</v>
      </c>
      <c r="G14" s="55" t="s">
        <v>191</v>
      </c>
      <c r="H14" s="55"/>
      <c r="I14" s="55">
        <v>14</v>
      </c>
      <c r="J14" s="29">
        <f>IF($C14="Y",'SETUP &amp; TARGETS'!$C7,0)</f>
        <v>18</v>
      </c>
      <c r="K14" s="29">
        <f t="shared" si="2"/>
        <v>144</v>
      </c>
      <c r="L14" s="29">
        <f t="shared" si="3"/>
        <v>110</v>
      </c>
      <c r="M14" s="27">
        <f t="shared" si="1"/>
        <v>0.76388888888888884</v>
      </c>
      <c r="N14" s="27">
        <f>IF($F14="","",IFERROR($F14/'SETUP &amp; TARGETS'!$C7,0))</f>
        <v>0.22222222222222221</v>
      </c>
      <c r="O14" s="27">
        <f>IF(OR($C14&lt;&gt;"Y",COUNT($D14,$E14,$H14,$I14)=0),"",MAX(0,IFERROR(('SETUP &amp; TARGETS'!$C$10-N($I14))/'SETUP &amp; TARGETS'!$C$10,0)))</f>
        <v>0.22222222222222221</v>
      </c>
      <c r="P14" s="22" t="str">
        <f>IF($K14=0,"",IF($M14&gt;='SETUP &amp; TARGETS'!$C11,"GREEN",IF($M14&gt;='SETUP &amp; TARGETS'!$C13,"AMBER","RED")))</f>
        <v>AMBER</v>
      </c>
      <c r="Q14" s="56" t="str">
        <f>IFERROR(INDEX('DELAY CODE REGISTER'!$C$6:$C$49,MATCH(G14,'DELAY CODE REGISTER'!$B$6:$B$49,0)),"")</f>
        <v>Engineering Delay: Electrician / Electrical Fault</v>
      </c>
    </row>
    <row r="15" spans="2:17" ht="14.25" customHeight="1" x14ac:dyDescent="0.3">
      <c r="B15" s="53">
        <v>46274</v>
      </c>
      <c r="C15" s="54" t="s">
        <v>173</v>
      </c>
      <c r="D15" s="55">
        <v>10318</v>
      </c>
      <c r="E15" s="55">
        <v>10318</v>
      </c>
      <c r="F15" s="29">
        <f t="shared" si="0"/>
        <v>0</v>
      </c>
      <c r="G15" s="55" t="s">
        <v>191</v>
      </c>
      <c r="H15" s="55"/>
      <c r="I15" s="55">
        <v>18</v>
      </c>
      <c r="J15" s="29">
        <f>IF($C15="Y",'SETUP &amp; TARGETS'!$C7,0)</f>
        <v>18</v>
      </c>
      <c r="K15" s="29">
        <f t="shared" si="2"/>
        <v>162</v>
      </c>
      <c r="L15" s="29">
        <f t="shared" si="3"/>
        <v>110</v>
      </c>
      <c r="M15" s="27">
        <f t="shared" si="1"/>
        <v>0.67901234567901236</v>
      </c>
      <c r="N15" s="27">
        <f>IF($F15="","",IFERROR($F15/'SETUP &amp; TARGETS'!$C7,0))</f>
        <v>0</v>
      </c>
      <c r="O15" s="27">
        <f>IF(OR($C15&lt;&gt;"Y",COUNT($D15,$E15,$H15,$I15)=0),"",MAX(0,IFERROR(('SETUP &amp; TARGETS'!$C$10-N($I15))/'SETUP &amp; TARGETS'!$C$10,0)))</f>
        <v>0</v>
      </c>
      <c r="P15" s="22" t="str">
        <f>IF($K15=0,"",IF($M15&gt;='SETUP &amp; TARGETS'!$C11,"GREEN",IF($M15&gt;='SETUP &amp; TARGETS'!$C13,"AMBER","RED")))</f>
        <v>RED</v>
      </c>
      <c r="Q15" s="56" t="str">
        <f>IFERROR(INDEX('DELAY CODE REGISTER'!$C$6:$C$49,MATCH(G15,'DELAY CODE REGISTER'!$B$6:$B$49,0)),"")</f>
        <v>Engineering Delay: Electrician / Electrical Fault</v>
      </c>
    </row>
    <row r="16" spans="2:17" ht="14.25" customHeight="1" x14ac:dyDescent="0.3">
      <c r="B16" s="53">
        <v>46275</v>
      </c>
      <c r="C16" s="54" t="s">
        <v>173</v>
      </c>
      <c r="D16" s="55">
        <v>10318</v>
      </c>
      <c r="E16" s="55">
        <v>10318</v>
      </c>
      <c r="F16" s="29">
        <f t="shared" si="0"/>
        <v>0</v>
      </c>
      <c r="G16" s="55" t="s">
        <v>191</v>
      </c>
      <c r="H16" s="55"/>
      <c r="I16" s="55">
        <v>18</v>
      </c>
      <c r="J16" s="29">
        <f>IF($C16="Y",'SETUP &amp; TARGETS'!$C7,0)</f>
        <v>18</v>
      </c>
      <c r="K16" s="29">
        <f t="shared" si="2"/>
        <v>180</v>
      </c>
      <c r="L16" s="29">
        <f t="shared" si="3"/>
        <v>110</v>
      </c>
      <c r="M16" s="27">
        <f t="shared" si="1"/>
        <v>0.61111111111111116</v>
      </c>
      <c r="N16" s="27">
        <f>IF($F16="","",IFERROR($F16/'SETUP &amp; TARGETS'!$C7,0))</f>
        <v>0</v>
      </c>
      <c r="O16" s="27">
        <f>IF(OR($C16&lt;&gt;"Y",COUNT($D16,$E16,$H16,$I16)=0),"",MAX(0,IFERROR(('SETUP &amp; TARGETS'!$C$10-N($I16))/'SETUP &amp; TARGETS'!$C$10,0)))</f>
        <v>0</v>
      </c>
      <c r="P16" s="22" t="str">
        <f>IF($K16=0,"",IF($M16&gt;='SETUP &amp; TARGETS'!$C11,"GREEN",IF($M16&gt;='SETUP &amp; TARGETS'!$C13,"AMBER","RED")))</f>
        <v>RED</v>
      </c>
      <c r="Q16" s="56" t="str">
        <f>IFERROR(INDEX('DELAY CODE REGISTER'!$C$6:$C$49,MATCH(G16,'DELAY CODE REGISTER'!$B$6:$B$49,0)),"")</f>
        <v>Engineering Delay: Electrician / Electrical Fault</v>
      </c>
    </row>
    <row r="17" spans="2:17" ht="14.25" customHeight="1" x14ac:dyDescent="0.3">
      <c r="B17" s="53">
        <v>46276</v>
      </c>
      <c r="C17" s="54" t="s">
        <v>173</v>
      </c>
      <c r="D17" s="55">
        <v>10318</v>
      </c>
      <c r="E17" s="55">
        <v>10318</v>
      </c>
      <c r="F17" s="29">
        <f t="shared" si="0"/>
        <v>0</v>
      </c>
      <c r="G17" s="55" t="s">
        <v>191</v>
      </c>
      <c r="H17" s="55"/>
      <c r="I17" s="55">
        <v>18</v>
      </c>
      <c r="J17" s="29">
        <f>IF($C17="Y",'SETUP &amp; TARGETS'!$C7,0)</f>
        <v>18</v>
      </c>
      <c r="K17" s="29">
        <f t="shared" si="2"/>
        <v>198</v>
      </c>
      <c r="L17" s="29">
        <f t="shared" si="3"/>
        <v>110</v>
      </c>
      <c r="M17" s="27">
        <f t="shared" si="1"/>
        <v>0.55555555555555558</v>
      </c>
      <c r="N17" s="27">
        <f>IF($F17="","",IFERROR($F17/'SETUP &amp; TARGETS'!$C7,0))</f>
        <v>0</v>
      </c>
      <c r="O17" s="27">
        <f>IF(OR($C17&lt;&gt;"Y",COUNT($D17,$E17,$H17,$I17)=0),"",MAX(0,IFERROR(('SETUP &amp; TARGETS'!$C$10-N($I17))/'SETUP &amp; TARGETS'!$C$10,0)))</f>
        <v>0</v>
      </c>
      <c r="P17" s="22" t="str">
        <f>IF($K17=0,"",IF($M17&gt;='SETUP &amp; TARGETS'!$C11,"GREEN",IF($M17&gt;='SETUP &amp; TARGETS'!$C13,"AMBER","RED")))</f>
        <v>RED</v>
      </c>
      <c r="Q17" s="56" t="str">
        <f>IFERROR(INDEX('DELAY CODE REGISTER'!$C$6:$C$49,MATCH(G17,'DELAY CODE REGISTER'!$B$6:$B$49,0)),"")</f>
        <v>Engineering Delay: Electrician / Electrical Fault</v>
      </c>
    </row>
    <row r="18" spans="2:17" ht="14.25" customHeight="1" x14ac:dyDescent="0.3">
      <c r="B18" s="53">
        <v>46277</v>
      </c>
      <c r="C18" s="54" t="s">
        <v>173</v>
      </c>
      <c r="D18" s="55">
        <v>10318</v>
      </c>
      <c r="E18" s="55">
        <v>10327</v>
      </c>
      <c r="F18" s="29">
        <f t="shared" si="0"/>
        <v>9</v>
      </c>
      <c r="G18" s="55" t="s">
        <v>191</v>
      </c>
      <c r="H18" s="55"/>
      <c r="I18" s="55">
        <v>9</v>
      </c>
      <c r="J18" s="29">
        <f>IF($C18="Y",'SETUP &amp; TARGETS'!$C7,0)</f>
        <v>18</v>
      </c>
      <c r="K18" s="29">
        <f t="shared" si="2"/>
        <v>216</v>
      </c>
      <c r="L18" s="29">
        <f t="shared" si="3"/>
        <v>119</v>
      </c>
      <c r="M18" s="27">
        <f t="shared" si="1"/>
        <v>0.55092592592592593</v>
      </c>
      <c r="N18" s="27">
        <f>IF($F18="","",IFERROR($F18/'SETUP &amp; TARGETS'!$C7,0))</f>
        <v>0.5</v>
      </c>
      <c r="O18" s="27">
        <f>IF(OR($C18&lt;&gt;"Y",COUNT($D18,$E18,$H18,$I18)=0),"",MAX(0,IFERROR(('SETUP &amp; TARGETS'!$C$10-N($I18))/'SETUP &amp; TARGETS'!$C$10,0)))</f>
        <v>0.5</v>
      </c>
      <c r="P18" s="22" t="str">
        <f>IF($K18=0,"",IF($M18&gt;='SETUP &amp; TARGETS'!$C11,"GREEN",IF($M18&gt;='SETUP &amp; TARGETS'!$C13,"AMBER","RED")))</f>
        <v>RED</v>
      </c>
      <c r="Q18" s="56" t="str">
        <f>IFERROR(INDEX('DELAY CODE REGISTER'!$C$6:$C$49,MATCH(G18,'DELAY CODE REGISTER'!$B$6:$B$49,0)),"")</f>
        <v>Engineering Delay: Electrician / Electrical Fault</v>
      </c>
    </row>
    <row r="19" spans="2:17" ht="14.25" customHeight="1" x14ac:dyDescent="0.3">
      <c r="B19" s="53">
        <v>46278</v>
      </c>
      <c r="C19" s="54" t="s">
        <v>173</v>
      </c>
      <c r="D19" s="55">
        <v>10327</v>
      </c>
      <c r="E19" s="55">
        <v>10344</v>
      </c>
      <c r="F19" s="29">
        <f t="shared" si="0"/>
        <v>17</v>
      </c>
      <c r="G19" s="55" t="s">
        <v>181</v>
      </c>
      <c r="H19" s="55">
        <v>1</v>
      </c>
      <c r="I19" s="55"/>
      <c r="J19" s="29">
        <f>IF($C19="Y",'SETUP &amp; TARGETS'!$C7,0)</f>
        <v>18</v>
      </c>
      <c r="K19" s="29">
        <f t="shared" si="2"/>
        <v>234</v>
      </c>
      <c r="L19" s="29">
        <f t="shared" si="3"/>
        <v>136</v>
      </c>
      <c r="M19" s="27">
        <f t="shared" si="1"/>
        <v>0.58119658119658124</v>
      </c>
      <c r="N19" s="27">
        <f>IF($F19="","",IFERROR($F19/'SETUP &amp; TARGETS'!$C7,0))</f>
        <v>0.94444444444444442</v>
      </c>
      <c r="O19" s="27">
        <f>IF(OR($C19&lt;&gt;"Y",COUNT($D19,$E19,$H19,$I19)=0),"",MAX(0,IFERROR(('SETUP &amp; TARGETS'!$C$10-N($I19))/'SETUP &amp; TARGETS'!$C$10,0)))</f>
        <v>1</v>
      </c>
      <c r="P19" s="22" t="str">
        <f>IF($K19=0,"",IF($M19&gt;='SETUP &amp; TARGETS'!$C11,"GREEN",IF($M19&gt;='SETUP &amp; TARGETS'!$C13,"AMBER","RED")))</f>
        <v>RED</v>
      </c>
      <c r="Q19" s="56" t="str">
        <f>IFERROR(INDEX('DELAY CODE REGISTER'!$C$6:$C$49,MATCH(G19,'DELAY CODE REGISTER'!$B$6:$B$49,0)),"")</f>
        <v>Under Utilization</v>
      </c>
    </row>
    <row r="20" spans="2:17" ht="14.25" customHeight="1" x14ac:dyDescent="0.3">
      <c r="B20" s="53">
        <v>46279</v>
      </c>
      <c r="C20" s="54" t="s">
        <v>173</v>
      </c>
      <c r="D20" s="55">
        <v>10344</v>
      </c>
      <c r="E20" s="55">
        <v>10360</v>
      </c>
      <c r="F20" s="29">
        <f t="shared" si="0"/>
        <v>16</v>
      </c>
      <c r="G20" s="55" t="s">
        <v>181</v>
      </c>
      <c r="H20" s="55">
        <v>2</v>
      </c>
      <c r="I20" s="55"/>
      <c r="J20" s="29">
        <f>IF($C20="Y",'SETUP &amp; TARGETS'!$C7,0)</f>
        <v>18</v>
      </c>
      <c r="K20" s="29">
        <f t="shared" si="2"/>
        <v>252</v>
      </c>
      <c r="L20" s="29">
        <f t="shared" si="3"/>
        <v>152</v>
      </c>
      <c r="M20" s="27">
        <f t="shared" si="1"/>
        <v>0.60317460317460314</v>
      </c>
      <c r="N20" s="27">
        <f>IF($F20="","",IFERROR($F20/'SETUP &amp; TARGETS'!$C7,0))</f>
        <v>0.88888888888888884</v>
      </c>
      <c r="O20" s="27">
        <f>IF(OR($C20&lt;&gt;"Y",COUNT($D20,$E20,$H20,$I20)=0),"",MAX(0,IFERROR(('SETUP &amp; TARGETS'!$C$10-N($I20))/'SETUP &amp; TARGETS'!$C$10,0)))</f>
        <v>1</v>
      </c>
      <c r="P20" s="22" t="str">
        <f>IF($K20=0,"",IF($M20&gt;='SETUP &amp; TARGETS'!$C11,"GREEN",IF($M20&gt;='SETUP &amp; TARGETS'!$C13,"AMBER","RED")))</f>
        <v>RED</v>
      </c>
      <c r="Q20" s="56" t="str">
        <f>IFERROR(INDEX('DELAY CODE REGISTER'!$C$6:$C$49,MATCH(G20,'DELAY CODE REGISTER'!$B$6:$B$49,0)),"")</f>
        <v>Under Utilization</v>
      </c>
    </row>
    <row r="21" spans="2:17" ht="14.25" customHeight="1" x14ac:dyDescent="0.3">
      <c r="B21" s="53">
        <v>46280</v>
      </c>
      <c r="C21" s="54" t="s">
        <v>173</v>
      </c>
      <c r="D21" s="55">
        <v>10360</v>
      </c>
      <c r="E21" s="55">
        <v>10372</v>
      </c>
      <c r="F21" s="29">
        <f t="shared" si="0"/>
        <v>12</v>
      </c>
      <c r="G21" s="55" t="s">
        <v>181</v>
      </c>
      <c r="H21" s="55">
        <v>6</v>
      </c>
      <c r="I21" s="55"/>
      <c r="J21" s="29">
        <f>IF($C21="Y",'SETUP &amp; TARGETS'!$C7,0)</f>
        <v>18</v>
      </c>
      <c r="K21" s="29">
        <f t="shared" si="2"/>
        <v>270</v>
      </c>
      <c r="L21" s="29">
        <f t="shared" si="3"/>
        <v>164</v>
      </c>
      <c r="M21" s="27">
        <f t="shared" si="1"/>
        <v>0.6074074074074074</v>
      </c>
      <c r="N21" s="27">
        <f>IF($F21="","",IFERROR($F21/'SETUP &amp; TARGETS'!$C7,0))</f>
        <v>0.66666666666666663</v>
      </c>
      <c r="O21" s="27">
        <f>IF(OR($C21&lt;&gt;"Y",COUNT($D21,$E21,$H21,$I21)=0),"",MAX(0,IFERROR(('SETUP &amp; TARGETS'!$C$10-N($I21))/'SETUP &amp; TARGETS'!$C$10,0)))</f>
        <v>1</v>
      </c>
      <c r="P21" s="22" t="str">
        <f>IF($K21=0,"",IF($M21&gt;='SETUP &amp; TARGETS'!$C11,"GREEN",IF($M21&gt;='SETUP &amp; TARGETS'!$C13,"AMBER","RED")))</f>
        <v>RED</v>
      </c>
      <c r="Q21" s="56" t="str">
        <f>IFERROR(INDEX('DELAY CODE REGISTER'!$C$6:$C$49,MATCH(G21,'DELAY CODE REGISTER'!$B$6:$B$49,0)),"")</f>
        <v>Under Utilization</v>
      </c>
    </row>
    <row r="22" spans="2:17" ht="14.25" customHeight="1" x14ac:dyDescent="0.3">
      <c r="B22" s="53">
        <v>46281</v>
      </c>
      <c r="C22" s="54" t="s">
        <v>173</v>
      </c>
      <c r="D22" s="55"/>
      <c r="E22" s="55"/>
      <c r="F22" s="29" t="str">
        <f t="shared" si="0"/>
        <v/>
      </c>
      <c r="G22" s="55"/>
      <c r="H22" s="55"/>
      <c r="I22" s="55"/>
      <c r="J22" s="29">
        <f>IF($C22="Y",'SETUP &amp; TARGETS'!$C7,0)</f>
        <v>18</v>
      </c>
      <c r="K22" s="29">
        <f t="shared" si="2"/>
        <v>288</v>
      </c>
      <c r="L22" s="29">
        <f t="shared" si="3"/>
        <v>164</v>
      </c>
      <c r="M22" s="27">
        <f t="shared" si="1"/>
        <v>0.56944444444444442</v>
      </c>
      <c r="N22" s="27" t="str">
        <f>IF($F22="","",IFERROR($F22/'SETUP &amp; TARGETS'!$C7,0))</f>
        <v/>
      </c>
      <c r="O22" s="27" t="str">
        <f>IF(OR($C22&lt;&gt;"Y",COUNT($D22,$E22,$H22,$I22)=0),"",MAX(0,IFERROR(('SETUP &amp; TARGETS'!$C$10-N($I22))/'SETUP &amp; TARGETS'!$C$10,0)))</f>
        <v/>
      </c>
      <c r="P22" s="22" t="str">
        <f>IF($K22=0,"",IF($M22&gt;='SETUP &amp; TARGETS'!$C11,"GREEN",IF($M22&gt;='SETUP &amp; TARGETS'!$C13,"AMBER","RED")))</f>
        <v>RED</v>
      </c>
      <c r="Q22" s="56" t="str">
        <f>IFERROR(INDEX('DELAY CODE REGISTER'!$C$6:$C$49,MATCH(G22,'DELAY CODE REGISTER'!$B$6:$B$49,0)),"")</f>
        <v/>
      </c>
    </row>
    <row r="23" spans="2:17" ht="14.25" customHeight="1" x14ac:dyDescent="0.3">
      <c r="B23" s="53">
        <v>46282</v>
      </c>
      <c r="C23" s="54" t="s">
        <v>173</v>
      </c>
      <c r="D23" s="55"/>
      <c r="E23" s="55"/>
      <c r="F23" s="29" t="str">
        <f t="shared" si="0"/>
        <v/>
      </c>
      <c r="G23" s="55"/>
      <c r="H23" s="55"/>
      <c r="I23" s="55"/>
      <c r="J23" s="29">
        <f>IF($C23="Y",'SETUP &amp; TARGETS'!$C7,0)</f>
        <v>18</v>
      </c>
      <c r="K23" s="29">
        <f t="shared" si="2"/>
        <v>306</v>
      </c>
      <c r="L23" s="29">
        <f t="shared" si="3"/>
        <v>164</v>
      </c>
      <c r="M23" s="27">
        <f t="shared" si="1"/>
        <v>0.53594771241830064</v>
      </c>
      <c r="N23" s="27" t="str">
        <f>IF($F23="","",IFERROR($F23/'SETUP &amp; TARGETS'!$C7,0))</f>
        <v/>
      </c>
      <c r="O23" s="27" t="str">
        <f>IF(OR($C23&lt;&gt;"Y",COUNT($D23,$E23,$H23,$I23)=0),"",MAX(0,IFERROR(('SETUP &amp; TARGETS'!$C$10-N($I23))/'SETUP &amp; TARGETS'!$C$10,0)))</f>
        <v/>
      </c>
      <c r="P23" s="22" t="str">
        <f>IF($K23=0,"",IF($M23&gt;='SETUP &amp; TARGETS'!$C11,"GREEN",IF($M23&gt;='SETUP &amp; TARGETS'!$C13,"AMBER","RED")))</f>
        <v>RED</v>
      </c>
      <c r="Q23" s="56" t="str">
        <f>IFERROR(INDEX('DELAY CODE REGISTER'!$C$6:$C$49,MATCH(G23,'DELAY CODE REGISTER'!$B$6:$B$49,0)),"")</f>
        <v/>
      </c>
    </row>
    <row r="24" spans="2:17" ht="14.25" customHeight="1" x14ac:dyDescent="0.3">
      <c r="B24" s="53">
        <v>46283</v>
      </c>
      <c r="C24" s="54" t="s">
        <v>173</v>
      </c>
      <c r="D24" s="55"/>
      <c r="E24" s="55"/>
      <c r="F24" s="29" t="str">
        <f t="shared" si="0"/>
        <v/>
      </c>
      <c r="G24" s="55"/>
      <c r="H24" s="55"/>
      <c r="I24" s="55"/>
      <c r="J24" s="29">
        <f>IF($C24="Y",'SETUP &amp; TARGETS'!$C7,0)</f>
        <v>18</v>
      </c>
      <c r="K24" s="29">
        <f t="shared" si="2"/>
        <v>324</v>
      </c>
      <c r="L24" s="29">
        <f t="shared" si="3"/>
        <v>164</v>
      </c>
      <c r="M24" s="27">
        <f t="shared" si="1"/>
        <v>0.50617283950617287</v>
      </c>
      <c r="N24" s="27" t="str">
        <f>IF($F24="","",IFERROR($F24/'SETUP &amp; TARGETS'!$C7,0))</f>
        <v/>
      </c>
      <c r="O24" s="27" t="str">
        <f>IF(OR($C24&lt;&gt;"Y",COUNT($D24,$E24,$H24,$I24)=0),"",MAX(0,IFERROR(('SETUP &amp; TARGETS'!$C$10-N($I24))/'SETUP &amp; TARGETS'!$C$10,0)))</f>
        <v/>
      </c>
      <c r="P24" s="22" t="str">
        <f>IF($K24=0,"",IF($M24&gt;='SETUP &amp; TARGETS'!$C11,"GREEN",IF($M24&gt;='SETUP &amp; TARGETS'!$C13,"AMBER","RED")))</f>
        <v>RED</v>
      </c>
      <c r="Q24" s="56" t="str">
        <f>IFERROR(INDEX('DELAY CODE REGISTER'!$C$6:$C$49,MATCH(G24,'DELAY CODE REGISTER'!$B$6:$B$49,0)),"")</f>
        <v/>
      </c>
    </row>
    <row r="25" spans="2:17" ht="14.25" customHeight="1" x14ac:dyDescent="0.3">
      <c r="B25" s="53">
        <v>46284</v>
      </c>
      <c r="C25" s="54" t="s">
        <v>173</v>
      </c>
      <c r="D25" s="55"/>
      <c r="E25" s="55"/>
      <c r="F25" s="29" t="str">
        <f t="shared" si="0"/>
        <v/>
      </c>
      <c r="G25" s="55"/>
      <c r="H25" s="55"/>
      <c r="I25" s="55"/>
      <c r="J25" s="29">
        <f>IF($C25="Y",'SETUP &amp; TARGETS'!$C7,0)</f>
        <v>18</v>
      </c>
      <c r="K25" s="29">
        <f t="shared" si="2"/>
        <v>342</v>
      </c>
      <c r="L25" s="29">
        <f t="shared" si="3"/>
        <v>164</v>
      </c>
      <c r="M25" s="27">
        <f t="shared" si="1"/>
        <v>0.47953216374269003</v>
      </c>
      <c r="N25" s="27" t="str">
        <f>IF($F25="","",IFERROR($F25/'SETUP &amp; TARGETS'!$C7,0))</f>
        <v/>
      </c>
      <c r="O25" s="27" t="str">
        <f>IF(OR($C25&lt;&gt;"Y",COUNT($D25,$E25,$H25,$I25)=0),"",MAX(0,IFERROR(('SETUP &amp; TARGETS'!$C$10-N($I25))/'SETUP &amp; TARGETS'!$C$10,0)))</f>
        <v/>
      </c>
      <c r="P25" s="22" t="str">
        <f>IF($K25=0,"",IF($M25&gt;='SETUP &amp; TARGETS'!$C11,"GREEN",IF($M25&gt;='SETUP &amp; TARGETS'!$C13,"AMBER","RED")))</f>
        <v>RED</v>
      </c>
      <c r="Q25" s="56" t="str">
        <f>IFERROR(INDEX('DELAY CODE REGISTER'!$C$6:$C$49,MATCH(G25,'DELAY CODE REGISTER'!$B$6:$B$49,0)),"")</f>
        <v/>
      </c>
    </row>
    <row r="26" spans="2:17" ht="14.25" customHeight="1" x14ac:dyDescent="0.3">
      <c r="B26" s="53">
        <v>46285</v>
      </c>
      <c r="C26" s="54" t="s">
        <v>173</v>
      </c>
      <c r="D26" s="55"/>
      <c r="E26" s="55"/>
      <c r="F26" s="29" t="str">
        <f t="shared" si="0"/>
        <v/>
      </c>
      <c r="G26" s="55"/>
      <c r="H26" s="55"/>
      <c r="I26" s="55"/>
      <c r="J26" s="29">
        <f>IF($C26="Y",'SETUP &amp; TARGETS'!$C7,0)</f>
        <v>18</v>
      </c>
      <c r="K26" s="29">
        <f t="shared" si="2"/>
        <v>360</v>
      </c>
      <c r="L26" s="29">
        <f t="shared" si="3"/>
        <v>164</v>
      </c>
      <c r="M26" s="27">
        <f t="shared" si="1"/>
        <v>0.45555555555555555</v>
      </c>
      <c r="N26" s="27" t="str">
        <f>IF($F26="","",IFERROR($F26/'SETUP &amp; TARGETS'!$C7,0))</f>
        <v/>
      </c>
      <c r="O26" s="27" t="str">
        <f>IF(OR($C26&lt;&gt;"Y",COUNT($D26,$E26,$H26,$I26)=0),"",MAX(0,IFERROR(('SETUP &amp; TARGETS'!$C$10-N($I26))/'SETUP &amp; TARGETS'!$C$10,0)))</f>
        <v/>
      </c>
      <c r="P26" s="22" t="str">
        <f>IF($K26=0,"",IF($M26&gt;='SETUP &amp; TARGETS'!$C11,"GREEN",IF($M26&gt;='SETUP &amp; TARGETS'!$C13,"AMBER","RED")))</f>
        <v>RED</v>
      </c>
      <c r="Q26" s="56" t="str">
        <f>IFERROR(INDEX('DELAY CODE REGISTER'!$C$6:$C$49,MATCH(G26,'DELAY CODE REGISTER'!$B$6:$B$49,0)),"")</f>
        <v/>
      </c>
    </row>
    <row r="27" spans="2:17" ht="14.25" customHeight="1" x14ac:dyDescent="0.3">
      <c r="B27" s="53">
        <v>46286</v>
      </c>
      <c r="C27" s="54" t="s">
        <v>173</v>
      </c>
      <c r="D27" s="55"/>
      <c r="E27" s="55"/>
      <c r="F27" s="29" t="str">
        <f t="shared" si="0"/>
        <v/>
      </c>
      <c r="G27" s="55"/>
      <c r="H27" s="55"/>
      <c r="I27" s="55"/>
      <c r="J27" s="29">
        <f>IF($C27="Y",'SETUP &amp; TARGETS'!$C7,0)</f>
        <v>18</v>
      </c>
      <c r="K27" s="29">
        <f t="shared" si="2"/>
        <v>378</v>
      </c>
      <c r="L27" s="29">
        <f t="shared" si="3"/>
        <v>164</v>
      </c>
      <c r="M27" s="27">
        <f t="shared" si="1"/>
        <v>0.43386243386243384</v>
      </c>
      <c r="N27" s="27" t="str">
        <f>IF($F27="","",IFERROR($F27/'SETUP &amp; TARGETS'!$C7,0))</f>
        <v/>
      </c>
      <c r="O27" s="27" t="str">
        <f>IF(OR($C27&lt;&gt;"Y",COUNT($D27,$E27,$H27,$I27)=0),"",MAX(0,IFERROR(('SETUP &amp; TARGETS'!$C$10-N($I27))/'SETUP &amp; TARGETS'!$C$10,0)))</f>
        <v/>
      </c>
      <c r="P27" s="22" t="str">
        <f>IF($K27=0,"",IF($M27&gt;='SETUP &amp; TARGETS'!$C11,"GREEN",IF($M27&gt;='SETUP &amp; TARGETS'!$C13,"AMBER","RED")))</f>
        <v>RED</v>
      </c>
      <c r="Q27" s="56" t="str">
        <f>IFERROR(INDEX('DELAY CODE REGISTER'!$C$6:$C$49,MATCH(G27,'DELAY CODE REGISTER'!$B$6:$B$49,0)),"")</f>
        <v/>
      </c>
    </row>
    <row r="28" spans="2:17" ht="14.25" customHeight="1" x14ac:dyDescent="0.3">
      <c r="B28" s="53">
        <v>46287</v>
      </c>
      <c r="C28" s="54" t="s">
        <v>173</v>
      </c>
      <c r="D28" s="55"/>
      <c r="E28" s="55"/>
      <c r="F28" s="29" t="str">
        <f t="shared" si="0"/>
        <v/>
      </c>
      <c r="G28" s="55"/>
      <c r="H28" s="55"/>
      <c r="I28" s="55"/>
      <c r="J28" s="29">
        <f>IF($C28="Y",'SETUP &amp; TARGETS'!$C7,0)</f>
        <v>18</v>
      </c>
      <c r="K28" s="29">
        <f t="shared" si="2"/>
        <v>396</v>
      </c>
      <c r="L28" s="29">
        <f t="shared" si="3"/>
        <v>164</v>
      </c>
      <c r="M28" s="27">
        <f t="shared" si="1"/>
        <v>0.41414141414141414</v>
      </c>
      <c r="N28" s="27" t="str">
        <f>IF($F28="","",IFERROR($F28/'SETUP &amp; TARGETS'!$C7,0))</f>
        <v/>
      </c>
      <c r="O28" s="27" t="str">
        <f>IF(OR($C28&lt;&gt;"Y",COUNT($D28,$E28,$H28,$I28)=0),"",MAX(0,IFERROR(('SETUP &amp; TARGETS'!$C$10-N($I28))/'SETUP &amp; TARGETS'!$C$10,0)))</f>
        <v/>
      </c>
      <c r="P28" s="22" t="str">
        <f>IF($K28=0,"",IF($M28&gt;='SETUP &amp; TARGETS'!$C11,"GREEN",IF($M28&gt;='SETUP &amp; TARGETS'!$C13,"AMBER","RED")))</f>
        <v>RED</v>
      </c>
      <c r="Q28" s="56" t="str">
        <f>IFERROR(INDEX('DELAY CODE REGISTER'!$C$6:$C$49,MATCH(G28,'DELAY CODE REGISTER'!$B$6:$B$49,0)),"")</f>
        <v/>
      </c>
    </row>
    <row r="29" spans="2:17" ht="14.25" customHeight="1" x14ac:dyDescent="0.3">
      <c r="B29" s="53">
        <v>46288</v>
      </c>
      <c r="C29" s="54" t="s">
        <v>173</v>
      </c>
      <c r="D29" s="55"/>
      <c r="E29" s="55"/>
      <c r="F29" s="29" t="str">
        <f t="shared" si="0"/>
        <v/>
      </c>
      <c r="G29" s="55"/>
      <c r="H29" s="55"/>
      <c r="I29" s="55"/>
      <c r="J29" s="29">
        <f>IF($C29="Y",'SETUP &amp; TARGETS'!$C7,0)</f>
        <v>18</v>
      </c>
      <c r="K29" s="29">
        <f t="shared" si="2"/>
        <v>414</v>
      </c>
      <c r="L29" s="29">
        <f t="shared" si="3"/>
        <v>164</v>
      </c>
      <c r="M29" s="27">
        <f t="shared" si="1"/>
        <v>0.39613526570048307</v>
      </c>
      <c r="N29" s="27" t="str">
        <f>IF($F29="","",IFERROR($F29/'SETUP &amp; TARGETS'!$C7,0))</f>
        <v/>
      </c>
      <c r="O29" s="27" t="str">
        <f>IF(OR($C29&lt;&gt;"Y",COUNT($D29,$E29,$H29,$I29)=0),"",MAX(0,IFERROR(('SETUP &amp; TARGETS'!$C$10-N($I29))/'SETUP &amp; TARGETS'!$C$10,0)))</f>
        <v/>
      </c>
      <c r="P29" s="22" t="str">
        <f>IF($K29=0,"",IF($M29&gt;='SETUP &amp; TARGETS'!$C11,"GREEN",IF($M29&gt;='SETUP &amp; TARGETS'!$C13,"AMBER","RED")))</f>
        <v>RED</v>
      </c>
      <c r="Q29" s="56" t="str">
        <f>IFERROR(INDEX('DELAY CODE REGISTER'!$C$6:$C$49,MATCH(G29,'DELAY CODE REGISTER'!$B$6:$B$49,0)),"")</f>
        <v/>
      </c>
    </row>
    <row r="30" spans="2:17" ht="14.25" customHeight="1" x14ac:dyDescent="0.3">
      <c r="B30" s="53">
        <v>46289</v>
      </c>
      <c r="C30" s="54" t="s">
        <v>173</v>
      </c>
      <c r="D30" s="55"/>
      <c r="E30" s="55"/>
      <c r="F30" s="29" t="str">
        <f t="shared" si="0"/>
        <v/>
      </c>
      <c r="G30" s="55"/>
      <c r="H30" s="55"/>
      <c r="I30" s="55"/>
      <c r="J30" s="29">
        <f>IF($C30="Y",'SETUP &amp; TARGETS'!$C7,0)</f>
        <v>18</v>
      </c>
      <c r="K30" s="29">
        <f t="shared" si="2"/>
        <v>432</v>
      </c>
      <c r="L30" s="29">
        <f t="shared" si="3"/>
        <v>164</v>
      </c>
      <c r="M30" s="27">
        <f t="shared" si="1"/>
        <v>0.37962962962962965</v>
      </c>
      <c r="N30" s="27" t="str">
        <f>IF($F30="","",IFERROR($F30/'SETUP &amp; TARGETS'!$C7,0))</f>
        <v/>
      </c>
      <c r="O30" s="27" t="str">
        <f>IF(OR($C30&lt;&gt;"Y",COUNT($D30,$E30,$H30,$I30)=0),"",MAX(0,IFERROR(('SETUP &amp; TARGETS'!$C$10-N($I30))/'SETUP &amp; TARGETS'!$C$10,0)))</f>
        <v/>
      </c>
      <c r="P30" s="22" t="str">
        <f>IF($K30=0,"",IF($M30&gt;='SETUP &amp; TARGETS'!$C11,"GREEN",IF($M30&gt;='SETUP &amp; TARGETS'!$C13,"AMBER","RED")))</f>
        <v>RED</v>
      </c>
      <c r="Q30" s="56" t="str">
        <f>IFERROR(INDEX('DELAY CODE REGISTER'!$C$6:$C$49,MATCH(G30,'DELAY CODE REGISTER'!$B$6:$B$49,0)),"")</f>
        <v/>
      </c>
    </row>
    <row r="31" spans="2:17" ht="14.25" customHeight="1" x14ac:dyDescent="0.3">
      <c r="B31" s="53">
        <v>46290</v>
      </c>
      <c r="C31" s="54" t="s">
        <v>173</v>
      </c>
      <c r="D31" s="55"/>
      <c r="E31" s="55"/>
      <c r="F31" s="29" t="str">
        <f t="shared" si="0"/>
        <v/>
      </c>
      <c r="G31" s="55"/>
      <c r="H31" s="55"/>
      <c r="I31" s="55"/>
      <c r="J31" s="29">
        <f>IF($C31="Y",'SETUP &amp; TARGETS'!$C7,0)</f>
        <v>18</v>
      </c>
      <c r="K31" s="29">
        <f t="shared" si="2"/>
        <v>450</v>
      </c>
      <c r="L31" s="29">
        <f t="shared" si="3"/>
        <v>164</v>
      </c>
      <c r="M31" s="27">
        <f t="shared" si="1"/>
        <v>0.36444444444444446</v>
      </c>
      <c r="N31" s="27" t="str">
        <f>IF($F31="","",IFERROR($F31/'SETUP &amp; TARGETS'!$C7,0))</f>
        <v/>
      </c>
      <c r="O31" s="27" t="str">
        <f>IF(OR($C31&lt;&gt;"Y",COUNT($D31,$E31,$H31,$I31)=0),"",MAX(0,IFERROR(('SETUP &amp; TARGETS'!$C$10-N($I31))/'SETUP &amp; TARGETS'!$C$10,0)))</f>
        <v/>
      </c>
      <c r="P31" s="22" t="str">
        <f>IF($K31=0,"",IF($M31&gt;='SETUP &amp; TARGETS'!$C11,"GREEN",IF($M31&gt;='SETUP &amp; TARGETS'!$C13,"AMBER","RED")))</f>
        <v>RED</v>
      </c>
      <c r="Q31" s="56" t="str">
        <f>IFERROR(INDEX('DELAY CODE REGISTER'!$C$6:$C$49,MATCH(G31,'DELAY CODE REGISTER'!$B$6:$B$49,0)),"")</f>
        <v/>
      </c>
    </row>
    <row r="32" spans="2:17" ht="14.25" customHeight="1" x14ac:dyDescent="0.3">
      <c r="B32" s="53">
        <v>46291</v>
      </c>
      <c r="C32" s="54" t="s">
        <v>173</v>
      </c>
      <c r="D32" s="55"/>
      <c r="E32" s="55"/>
      <c r="F32" s="29" t="str">
        <f t="shared" si="0"/>
        <v/>
      </c>
      <c r="G32" s="55"/>
      <c r="H32" s="55"/>
      <c r="I32" s="55"/>
      <c r="J32" s="29">
        <f>IF($C32="Y",'SETUP &amp; TARGETS'!$C7,0)</f>
        <v>18</v>
      </c>
      <c r="K32" s="29">
        <f t="shared" si="2"/>
        <v>468</v>
      </c>
      <c r="L32" s="29">
        <f t="shared" si="3"/>
        <v>164</v>
      </c>
      <c r="M32" s="27">
        <f t="shared" si="1"/>
        <v>0.3504273504273504</v>
      </c>
      <c r="N32" s="27" t="str">
        <f>IF($F32="","",IFERROR($F32/'SETUP &amp; TARGETS'!$C7,0))</f>
        <v/>
      </c>
      <c r="O32" s="27" t="str">
        <f>IF(OR($C32&lt;&gt;"Y",COUNT($D32,$E32,$H32,$I32)=0),"",MAX(0,IFERROR(('SETUP &amp; TARGETS'!$C$10-N($I32))/'SETUP &amp; TARGETS'!$C$10,0)))</f>
        <v/>
      </c>
      <c r="P32" s="22" t="str">
        <f>IF($K32=0,"",IF($M32&gt;='SETUP &amp; TARGETS'!$C11,"GREEN",IF($M32&gt;='SETUP &amp; TARGETS'!$C13,"AMBER","RED")))</f>
        <v>RED</v>
      </c>
      <c r="Q32" s="56" t="str">
        <f>IFERROR(INDEX('DELAY CODE REGISTER'!$C$6:$C$49,MATCH(G32,'DELAY CODE REGISTER'!$B$6:$B$49,0)),"")</f>
        <v/>
      </c>
    </row>
    <row r="33" spans="2:17" ht="14.25" customHeight="1" x14ac:dyDescent="0.3">
      <c r="B33" s="53">
        <v>46292</v>
      </c>
      <c r="C33" s="54" t="s">
        <v>173</v>
      </c>
      <c r="D33" s="55"/>
      <c r="E33" s="55"/>
      <c r="F33" s="29" t="str">
        <f t="shared" si="0"/>
        <v/>
      </c>
      <c r="G33" s="55"/>
      <c r="H33" s="55"/>
      <c r="I33" s="55"/>
      <c r="J33" s="29">
        <f>IF($C33="Y",'SETUP &amp; TARGETS'!$C7,0)</f>
        <v>18</v>
      </c>
      <c r="K33" s="29">
        <f t="shared" si="2"/>
        <v>486</v>
      </c>
      <c r="L33" s="29">
        <f t="shared" si="3"/>
        <v>164</v>
      </c>
      <c r="M33" s="27">
        <f t="shared" si="1"/>
        <v>0.33744855967078191</v>
      </c>
      <c r="N33" s="27" t="str">
        <f>IF($F33="","",IFERROR($F33/'SETUP &amp; TARGETS'!$C7,0))</f>
        <v/>
      </c>
      <c r="O33" s="27" t="str">
        <f>IF(OR($C33&lt;&gt;"Y",COUNT($D33,$E33,$H33,$I33)=0),"",MAX(0,IFERROR(('SETUP &amp; TARGETS'!$C$10-N($I33))/'SETUP &amp; TARGETS'!$C$10,0)))</f>
        <v/>
      </c>
      <c r="P33" s="22" t="str">
        <f>IF($K33=0,"",IF($M33&gt;='SETUP &amp; TARGETS'!$C11,"GREEN",IF($M33&gt;='SETUP &amp; TARGETS'!$C13,"AMBER","RED")))</f>
        <v>RED</v>
      </c>
      <c r="Q33" s="56" t="str">
        <f>IFERROR(INDEX('DELAY CODE REGISTER'!$C$6:$C$49,MATCH(G33,'DELAY CODE REGISTER'!$B$6:$B$49,0)),"")</f>
        <v/>
      </c>
    </row>
    <row r="34" spans="2:17" ht="14.25" customHeight="1" x14ac:dyDescent="0.3">
      <c r="B34" s="53">
        <v>46293</v>
      </c>
      <c r="C34" s="54" t="s">
        <v>173</v>
      </c>
      <c r="D34" s="55"/>
      <c r="E34" s="55"/>
      <c r="F34" s="29" t="str">
        <f t="shared" si="0"/>
        <v/>
      </c>
      <c r="G34" s="55"/>
      <c r="H34" s="55"/>
      <c r="I34" s="55"/>
      <c r="J34" s="29">
        <f>IF($C34="Y",'SETUP &amp; TARGETS'!$C7,0)</f>
        <v>18</v>
      </c>
      <c r="K34" s="29">
        <f t="shared" si="2"/>
        <v>504</v>
      </c>
      <c r="L34" s="29">
        <f t="shared" si="3"/>
        <v>164</v>
      </c>
      <c r="M34" s="27">
        <f t="shared" si="1"/>
        <v>0.32539682539682541</v>
      </c>
      <c r="N34" s="27" t="str">
        <f>IF($F34="","",IFERROR($F34/'SETUP &amp; TARGETS'!$C7,0))</f>
        <v/>
      </c>
      <c r="O34" s="27" t="str">
        <f>IF(OR($C34&lt;&gt;"Y",COUNT($D34,$E34,$H34,$I34)=0),"",MAX(0,IFERROR(('SETUP &amp; TARGETS'!$C$10-N($I34))/'SETUP &amp; TARGETS'!$C$10,0)))</f>
        <v/>
      </c>
      <c r="P34" s="22" t="str">
        <f>IF($K34=0,"",IF($M34&gt;='SETUP &amp; TARGETS'!$C11,"GREEN",IF($M34&gt;='SETUP &amp; TARGETS'!$C13,"AMBER","RED")))</f>
        <v>RED</v>
      </c>
      <c r="Q34" s="56" t="str">
        <f>IFERROR(INDEX('DELAY CODE REGISTER'!$C$6:$C$49,MATCH(G34,'DELAY CODE REGISTER'!$B$6:$B$49,0)),"")</f>
        <v/>
      </c>
    </row>
    <row r="35" spans="2:17" ht="14.25" customHeight="1" x14ac:dyDescent="0.3">
      <c r="B35" s="53">
        <v>46294</v>
      </c>
      <c r="C35" s="54" t="s">
        <v>173</v>
      </c>
      <c r="D35" s="55"/>
      <c r="E35" s="55"/>
      <c r="F35" s="29" t="str">
        <f t="shared" si="0"/>
        <v/>
      </c>
      <c r="G35" s="55"/>
      <c r="H35" s="55"/>
      <c r="I35" s="55"/>
      <c r="J35" s="29">
        <f>IF($C35="Y",'SETUP &amp; TARGETS'!$C7,0)</f>
        <v>18</v>
      </c>
      <c r="K35" s="29">
        <f t="shared" si="2"/>
        <v>522</v>
      </c>
      <c r="L35" s="29">
        <f t="shared" si="3"/>
        <v>164</v>
      </c>
      <c r="M35" s="27">
        <f t="shared" si="1"/>
        <v>0.31417624521072796</v>
      </c>
      <c r="N35" s="27" t="str">
        <f>IF($F35="","",IFERROR($F35/'SETUP &amp; TARGETS'!$C7,0))</f>
        <v/>
      </c>
      <c r="O35" s="27" t="str">
        <f>IF(OR($C35&lt;&gt;"Y",COUNT($D35,$E35,$H35,$I35)=0),"",MAX(0,IFERROR(('SETUP &amp; TARGETS'!$C$10-N($I35))/'SETUP &amp; TARGETS'!$C$10,0)))</f>
        <v/>
      </c>
      <c r="P35" s="22" t="str">
        <f>IF($K35=0,"",IF($M35&gt;='SETUP &amp; TARGETS'!$C11,"GREEN",IF($M35&gt;='SETUP &amp; TARGETS'!$C13,"AMBER","RED")))</f>
        <v>RED</v>
      </c>
      <c r="Q35" s="56" t="str">
        <f>IFERROR(INDEX('DELAY CODE REGISTER'!$C$6:$C$49,MATCH(G35,'DELAY CODE REGISTER'!$B$6:$B$49,0)),"")</f>
        <v/>
      </c>
    </row>
    <row r="36" spans="2:17" ht="14.25" customHeight="1" x14ac:dyDescent="0.3">
      <c r="B36" s="53">
        <v>46295</v>
      </c>
      <c r="C36" s="54" t="s">
        <v>173</v>
      </c>
      <c r="D36" s="55"/>
      <c r="E36" s="55"/>
      <c r="F36" s="29" t="str">
        <f t="shared" si="0"/>
        <v/>
      </c>
      <c r="G36" s="55"/>
      <c r="H36" s="55"/>
      <c r="I36" s="55"/>
      <c r="J36" s="29">
        <f>IF($C36="Y",'SETUP &amp; TARGETS'!$C7,0)</f>
        <v>18</v>
      </c>
      <c r="K36" s="29">
        <f t="shared" si="2"/>
        <v>540</v>
      </c>
      <c r="L36" s="29">
        <f t="shared" si="3"/>
        <v>164</v>
      </c>
      <c r="M36" s="27">
        <f t="shared" si="1"/>
        <v>0.3037037037037037</v>
      </c>
      <c r="N36" s="27" t="str">
        <f>IF($F36="","",IFERROR($F36/'SETUP &amp; TARGETS'!$C7,0))</f>
        <v/>
      </c>
      <c r="O36" s="27" t="str">
        <f>IF(OR($C36&lt;&gt;"Y",COUNT($D36,$E36,$H36,$I36)=0),"",MAX(0,IFERROR(('SETUP &amp; TARGETS'!$C$10-N($I36))/'SETUP &amp; TARGETS'!$C$10,0)))</f>
        <v/>
      </c>
      <c r="P36" s="22" t="str">
        <f>IF($K36=0,"",IF($M36&gt;='SETUP &amp; TARGETS'!$C11,"GREEN",IF($M36&gt;='SETUP &amp; TARGETS'!$C13,"AMBER","RED")))</f>
        <v>RED</v>
      </c>
      <c r="Q36" s="56" t="str">
        <f>IFERROR(INDEX('DELAY CODE REGISTER'!$C$6:$C$49,MATCH(G36,'DELAY CODE REGISTER'!$B$6:$B$49,0)),"")</f>
        <v/>
      </c>
    </row>
    <row r="37" spans="2:17" ht="14.25" customHeight="1" x14ac:dyDescent="0.3">
      <c r="B37" s="53"/>
      <c r="C37" s="54" t="s">
        <v>173</v>
      </c>
      <c r="D37" s="55"/>
      <c r="E37" s="55"/>
      <c r="F37" s="29" t="str">
        <f t="shared" si="0"/>
        <v/>
      </c>
      <c r="G37" s="55"/>
      <c r="H37" s="55"/>
      <c r="I37" s="55"/>
      <c r="J37" s="29">
        <f>IF($C37="Y",'SETUP &amp; TARGETS'!$C7,0)</f>
        <v>18</v>
      </c>
      <c r="K37" s="29">
        <f t="shared" si="2"/>
        <v>558</v>
      </c>
      <c r="L37" s="29">
        <f t="shared" si="3"/>
        <v>164</v>
      </c>
      <c r="M37" s="27">
        <f t="shared" si="1"/>
        <v>0.29390681003584229</v>
      </c>
      <c r="N37" s="27" t="str">
        <f>IF($F37="","",IFERROR($F37/'SETUP &amp; TARGETS'!$C7,0))</f>
        <v/>
      </c>
      <c r="O37" s="27" t="str">
        <f>IF(OR($C37&lt;&gt;"Y",COUNT($D37,$E37,$H37,$I37)=0),"",MAX(0,IFERROR(('SETUP &amp; TARGETS'!$C$10-N($I37))/'SETUP &amp; TARGETS'!$C$10,0)))</f>
        <v/>
      </c>
      <c r="P37" s="22" t="str">
        <f>IF($K37=0,"",IF($M37&gt;='SETUP &amp; TARGETS'!$C11,"GREEN",IF($M37&gt;='SETUP &amp; TARGETS'!$C13,"AMBER","RED")))</f>
        <v>RED</v>
      </c>
      <c r="Q37" s="56" t="str">
        <f>IFERROR(INDEX('DELAY CODE REGISTER'!$C$6:$C$49,MATCH(G37,'DELAY CODE REGISTER'!$B$6:$B$49,0)),"")</f>
        <v/>
      </c>
    </row>
    <row r="38" spans="2:17" ht="14.25" customHeight="1" x14ac:dyDescent="0.3">
      <c r="B38" s="23" t="s">
        <v>177</v>
      </c>
      <c r="C38" s="23"/>
      <c r="D38" s="23"/>
      <c r="E38" s="23"/>
      <c r="F38" s="24">
        <f>SUM(F7:F37)</f>
        <v>164</v>
      </c>
      <c r="G38" s="23"/>
      <c r="H38" s="24">
        <f>SUM(H7:H37)</f>
        <v>29</v>
      </c>
      <c r="I38" s="24">
        <f>SUM(I7:I37)</f>
        <v>77</v>
      </c>
      <c r="J38" s="24">
        <f>SUM(J7:J37)</f>
        <v>558</v>
      </c>
      <c r="K38" s="24">
        <f>K37</f>
        <v>558</v>
      </c>
      <c r="L38" s="24">
        <f>L37</f>
        <v>164</v>
      </c>
      <c r="M38" s="26">
        <f>IFERROR(L38/K38,0)</f>
        <v>0.29390681003584229</v>
      </c>
      <c r="N38" s="26">
        <f>IFERROR(F38/'SETUP &amp; TARGETS'!$C9,0)</f>
        <v>0.29390681003584229</v>
      </c>
      <c r="O38" s="26">
        <f>IF(COUNT(O7:O37)=0,0,AVERAGE(O7:O37))</f>
        <v>0.71481481481481479</v>
      </c>
      <c r="P38" s="23"/>
      <c r="Q38" s="23"/>
    </row>
  </sheetData>
  <sheetProtection sheet="1" objects="1" scenarios="1"/>
  <conditionalFormatting sqref="P7:P37">
    <cfRule type="cellIs" dxfId="39" priority="2" operator="equal">
      <formula>"GREEN"</formula>
    </cfRule>
    <cfRule type="cellIs" dxfId="38" priority="3" operator="equal">
      <formula>"AMBER"</formula>
    </cfRule>
    <cfRule type="cellIs" dxfId="37" priority="4" operator="equal">
      <formula>"RED"</formula>
    </cfRule>
  </conditionalFormatting>
  <dataValidations count="2">
    <dataValidation type="list" allowBlank="1" sqref="C7:C37" xr:uid="{00000000-0002-0000-0500-000000000000}">
      <formula1>"Y,N"</formula1>
      <formula2>0</formula2>
    </dataValidation>
    <dataValidation type="custom" allowBlank="1" showInputMessage="1" showErrorMessage="1" sqref="E7:E37" xr:uid="{00000000-0002-0000-0500-000001000000}">
      <formula1>OR(E7="",E7&gt;=D7)</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500-000002000000}">
          <x14:formula1>
            <xm:f>'DELAY CODE REGISTER'!$B$6:$B$49</xm:f>
          </x14:formula1>
          <x14:formula2>
            <xm:f>0</xm:f>
          </x14:formula2>
          <xm:sqref>G7:G37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38"/>
  <sheetViews>
    <sheetView showGridLines="0" zoomScale="90" zoomScaleNormal="90" workbookViewId="0">
      <pane xSplit="1" ySplit="6" topLeftCell="B11" activePane="bottomRight" state="frozen"/>
      <selection pane="topRight" activeCell="B1" sqref="B1"/>
      <selection pane="bottomLeft" activeCell="A7" sqref="A7"/>
      <selection pane="bottomRight" activeCell="B7" sqref="B7:B36"/>
    </sheetView>
  </sheetViews>
  <sheetFormatPr defaultColWidth="8.6640625" defaultRowHeight="14.4" x14ac:dyDescent="0.3"/>
  <cols>
    <col min="2" max="2" width="19.88671875" customWidth="1"/>
    <col min="3" max="3" width="11" customWidth="1"/>
    <col min="4" max="4" width="12.77734375" customWidth="1"/>
    <col min="5" max="5" width="13" customWidth="1"/>
    <col min="6" max="7" width="10" customWidth="1"/>
    <col min="8" max="8" width="12" customWidth="1"/>
    <col min="9" max="10" width="10" customWidth="1"/>
    <col min="11" max="13" width="9" customWidth="1"/>
    <col min="14" max="14" width="10" customWidth="1"/>
    <col min="15" max="16" width="9" customWidth="1"/>
    <col min="17" max="17" width="60.109375" customWidth="1"/>
    <col min="18" max="18" width="46" customWidth="1"/>
  </cols>
  <sheetData>
    <row r="2" spans="2:17" ht="18" customHeight="1" x14ac:dyDescent="0.35">
      <c r="B2" s="13" t="s">
        <v>184</v>
      </c>
    </row>
    <row r="3" spans="2:17" ht="14.25" customHeight="1" x14ac:dyDescent="0.3">
      <c r="B3" s="14" t="s">
        <v>43</v>
      </c>
    </row>
    <row r="4" spans="2:17" ht="14.25" customHeight="1" x14ac:dyDescent="0.3">
      <c r="B4" s="15"/>
    </row>
    <row r="6" spans="2:17" ht="39.75" customHeight="1" x14ac:dyDescent="0.3">
      <c r="B6" s="16" t="s">
        <v>159</v>
      </c>
      <c r="C6" s="16" t="s">
        <v>160</v>
      </c>
      <c r="D6" s="16" t="s">
        <v>161</v>
      </c>
      <c r="E6" s="16" t="s">
        <v>162</v>
      </c>
      <c r="F6" s="16" t="s">
        <v>163</v>
      </c>
      <c r="G6" s="16" t="s">
        <v>164</v>
      </c>
      <c r="H6" s="16" t="s">
        <v>165</v>
      </c>
      <c r="I6" s="16" t="s">
        <v>87</v>
      </c>
      <c r="J6" s="16" t="s">
        <v>166</v>
      </c>
      <c r="K6" s="16" t="s">
        <v>167</v>
      </c>
      <c r="L6" s="16" t="s">
        <v>168</v>
      </c>
      <c r="M6" s="16" t="s">
        <v>169</v>
      </c>
      <c r="N6" s="16" t="s">
        <v>170</v>
      </c>
      <c r="O6" s="16" t="s">
        <v>171</v>
      </c>
      <c r="P6" s="16" t="s">
        <v>95</v>
      </c>
      <c r="Q6" s="16" t="s">
        <v>172</v>
      </c>
    </row>
    <row r="7" spans="2:17" ht="14.25" customHeight="1" x14ac:dyDescent="0.3">
      <c r="B7" s="53">
        <v>46266</v>
      </c>
      <c r="C7" s="54" t="s">
        <v>173</v>
      </c>
      <c r="D7" s="55">
        <v>14195</v>
      </c>
      <c r="E7" s="55">
        <v>14193</v>
      </c>
      <c r="F7" s="29">
        <f t="shared" ref="F7:F37" si="0">IF(OR($E7="",$D7=""),"",MAX(0,$E7-$D7))</f>
        <v>0</v>
      </c>
      <c r="G7" s="55" t="s">
        <v>459</v>
      </c>
      <c r="H7" s="55"/>
      <c r="I7" s="55">
        <v>18</v>
      </c>
      <c r="J7" s="29">
        <f>IF($C7="Y",'SETUP &amp; TARGETS'!$C7,0)</f>
        <v>18</v>
      </c>
      <c r="K7" s="29">
        <f>0+$J7</f>
        <v>18</v>
      </c>
      <c r="L7" s="29">
        <f>0+N($F7)</f>
        <v>0</v>
      </c>
      <c r="M7" s="27">
        <f t="shared" ref="M7:M37" si="1">IFERROR($L7/$K7,0)</f>
        <v>0</v>
      </c>
      <c r="N7" s="27">
        <f>IF($F7="","",IFERROR($F7/'SETUP &amp; TARGETS'!$C7,0))</f>
        <v>0</v>
      </c>
      <c r="O7" s="27">
        <f>IF(OR($C7&lt;&gt;"Y",COUNT($D7,$E7,$H7,$I7)=0),"",MAX(0,IFERROR(('SETUP &amp; TARGETS'!$C$10-N($I7))/'SETUP &amp; TARGETS'!$C$10,0)))</f>
        <v>0</v>
      </c>
      <c r="P7" s="22" t="str">
        <f>IF($K7=0,"",IF($M7&gt;='SETUP &amp; TARGETS'!$C11,"GREEN",IF($M7&gt;='SETUP &amp; TARGETS'!$C13,"AMBER","RED")))</f>
        <v>RED</v>
      </c>
      <c r="Q7" s="56" t="str">
        <f>IFERROR(INDEX('DELAY CODE REGISTER'!$C$6:$C$49,MATCH(G7,'DELAY CODE REGISTER'!$B$6:$B$49,0)),"")</f>
        <v>Engineering Delay: Parts / Spares Delivery</v>
      </c>
    </row>
    <row r="8" spans="2:17" ht="14.25" customHeight="1" x14ac:dyDescent="0.3">
      <c r="B8" s="53">
        <v>46267</v>
      </c>
      <c r="C8" s="54" t="s">
        <v>173</v>
      </c>
      <c r="D8" s="55">
        <v>14193</v>
      </c>
      <c r="E8" s="55">
        <v>14193</v>
      </c>
      <c r="F8" s="29">
        <f t="shared" si="0"/>
        <v>0</v>
      </c>
      <c r="G8" s="55" t="s">
        <v>459</v>
      </c>
      <c r="H8" s="55"/>
      <c r="I8" s="55">
        <v>18</v>
      </c>
      <c r="J8" s="29">
        <f>IF($C8="Y",'SETUP &amp; TARGETS'!$C7,0)</f>
        <v>18</v>
      </c>
      <c r="K8" s="29">
        <f t="shared" ref="K8:K37" si="2">$K7+$J8</f>
        <v>36</v>
      </c>
      <c r="L8" s="29">
        <f t="shared" ref="L8:L37" si="3">$L7+N($F8)</f>
        <v>0</v>
      </c>
      <c r="M8" s="27">
        <f t="shared" si="1"/>
        <v>0</v>
      </c>
      <c r="N8" s="27">
        <f>IF($F8="","",IFERROR($F8/'SETUP &amp; TARGETS'!$C7,0))</f>
        <v>0</v>
      </c>
      <c r="O8" s="27">
        <f>IF(OR($C8&lt;&gt;"Y",COUNT($D8,$E8,$H8,$I8)=0),"",MAX(0,IFERROR(('SETUP &amp; TARGETS'!$C$10-N($I8))/'SETUP &amp; TARGETS'!$C$10,0)))</f>
        <v>0</v>
      </c>
      <c r="P8" s="22" t="str">
        <f>IF($K8=0,"",IF($M8&gt;='SETUP &amp; TARGETS'!$C11,"GREEN",IF($M8&gt;='SETUP &amp; TARGETS'!$C13,"AMBER","RED")))</f>
        <v>RED</v>
      </c>
      <c r="Q8" s="56" t="str">
        <f>IFERROR(INDEX('DELAY CODE REGISTER'!$C$6:$C$49,MATCH(G8,'DELAY CODE REGISTER'!$B$6:$B$49,0)),"")</f>
        <v>Engineering Delay: Parts / Spares Delivery</v>
      </c>
    </row>
    <row r="9" spans="2:17" ht="14.25" customHeight="1" x14ac:dyDescent="0.3">
      <c r="B9" s="53">
        <v>46268</v>
      </c>
      <c r="C9" s="54" t="s">
        <v>173</v>
      </c>
      <c r="D9" s="55">
        <v>14193</v>
      </c>
      <c r="E9" s="55">
        <v>14193</v>
      </c>
      <c r="F9" s="29">
        <f t="shared" si="0"/>
        <v>0</v>
      </c>
      <c r="G9" s="55" t="s">
        <v>459</v>
      </c>
      <c r="H9" s="55"/>
      <c r="I9" s="55">
        <v>18</v>
      </c>
      <c r="J9" s="29">
        <f>IF($C9="Y",'SETUP &amp; TARGETS'!$C7,0)</f>
        <v>18</v>
      </c>
      <c r="K9" s="29">
        <f t="shared" si="2"/>
        <v>54</v>
      </c>
      <c r="L9" s="29">
        <f t="shared" si="3"/>
        <v>0</v>
      </c>
      <c r="M9" s="27">
        <f t="shared" si="1"/>
        <v>0</v>
      </c>
      <c r="N9" s="27">
        <f>IF($F9="","",IFERROR($F9/'SETUP &amp; TARGETS'!$C7,0))</f>
        <v>0</v>
      </c>
      <c r="O9" s="27">
        <f>IF(OR($C9&lt;&gt;"Y",COUNT($D9,$E9,$H9,$I9)=0),"",MAX(0,IFERROR(('SETUP &amp; TARGETS'!$C$10-N($I9))/'SETUP &amp; TARGETS'!$C$10,0)))</f>
        <v>0</v>
      </c>
      <c r="P9" s="22" t="str">
        <f>IF($K9=0,"",IF($M9&gt;='SETUP &amp; TARGETS'!$C11,"GREEN",IF($M9&gt;='SETUP &amp; TARGETS'!$C13,"AMBER","RED")))</f>
        <v>RED</v>
      </c>
      <c r="Q9" s="56" t="str">
        <f>IFERROR(INDEX('DELAY CODE REGISTER'!$C$6:$C$49,MATCH(G9,'DELAY CODE REGISTER'!$B$6:$B$49,0)),"")</f>
        <v>Engineering Delay: Parts / Spares Delivery</v>
      </c>
    </row>
    <row r="10" spans="2:17" ht="14.25" customHeight="1" x14ac:dyDescent="0.3">
      <c r="B10" s="53">
        <v>46269</v>
      </c>
      <c r="C10" s="54" t="s">
        <v>173</v>
      </c>
      <c r="D10" s="55">
        <v>14193</v>
      </c>
      <c r="E10" s="55">
        <v>14193</v>
      </c>
      <c r="F10" s="29">
        <f t="shared" si="0"/>
        <v>0</v>
      </c>
      <c r="G10" s="55" t="s">
        <v>459</v>
      </c>
      <c r="H10" s="55"/>
      <c r="I10" s="55">
        <v>18</v>
      </c>
      <c r="J10" s="29">
        <f>IF($C10="Y",'SETUP &amp; TARGETS'!$C7,0)</f>
        <v>18</v>
      </c>
      <c r="K10" s="29">
        <f t="shared" si="2"/>
        <v>72</v>
      </c>
      <c r="L10" s="29">
        <f t="shared" si="3"/>
        <v>0</v>
      </c>
      <c r="M10" s="27">
        <f t="shared" si="1"/>
        <v>0</v>
      </c>
      <c r="N10" s="27">
        <f>IF($F10="","",IFERROR($F10/'SETUP &amp; TARGETS'!$C7,0))</f>
        <v>0</v>
      </c>
      <c r="O10" s="27">
        <f>IF(OR($C10&lt;&gt;"Y",COUNT($D10,$E10,$H10,$I10)=0),"",MAX(0,IFERROR(('SETUP &amp; TARGETS'!$C$10-N($I10))/'SETUP &amp; TARGETS'!$C$10,0)))</f>
        <v>0</v>
      </c>
      <c r="P10" s="22" t="str">
        <f>IF($K10=0,"",IF($M10&gt;='SETUP &amp; TARGETS'!$C11,"GREEN",IF($M10&gt;='SETUP &amp; TARGETS'!$C13,"AMBER","RED")))</f>
        <v>RED</v>
      </c>
      <c r="Q10" s="56" t="str">
        <f>IFERROR(INDEX('DELAY CODE REGISTER'!$C$6:$C$49,MATCH(G10,'DELAY CODE REGISTER'!$B$6:$B$49,0)),"")</f>
        <v>Engineering Delay: Parts / Spares Delivery</v>
      </c>
    </row>
    <row r="11" spans="2:17" ht="14.25" customHeight="1" x14ac:dyDescent="0.3">
      <c r="B11" s="53">
        <v>46270</v>
      </c>
      <c r="C11" s="54" t="s">
        <v>173</v>
      </c>
      <c r="D11" s="55">
        <v>14193</v>
      </c>
      <c r="E11" s="55">
        <v>14193</v>
      </c>
      <c r="F11" s="29">
        <f t="shared" si="0"/>
        <v>0</v>
      </c>
      <c r="G11" s="55" t="s">
        <v>459</v>
      </c>
      <c r="H11" s="55"/>
      <c r="I11" s="55">
        <v>18</v>
      </c>
      <c r="J11" s="29">
        <f>IF($C11="Y",'SETUP &amp; TARGETS'!$C7,0)</f>
        <v>18</v>
      </c>
      <c r="K11" s="29">
        <f t="shared" si="2"/>
        <v>90</v>
      </c>
      <c r="L11" s="29">
        <f t="shared" si="3"/>
        <v>0</v>
      </c>
      <c r="M11" s="27">
        <f t="shared" si="1"/>
        <v>0</v>
      </c>
      <c r="N11" s="27">
        <f>IF($F11="","",IFERROR($F11/'SETUP &amp; TARGETS'!$C7,0))</f>
        <v>0</v>
      </c>
      <c r="O11" s="27">
        <f>IF(OR($C11&lt;&gt;"Y",COUNT($D11,$E11,$H11,$I11)=0),"",MAX(0,IFERROR(('SETUP &amp; TARGETS'!$C$10-N($I11))/'SETUP &amp; TARGETS'!$C$10,0)))</f>
        <v>0</v>
      </c>
      <c r="P11" s="22" t="str">
        <f>IF($K11=0,"",IF($M11&gt;='SETUP &amp; TARGETS'!$C11,"GREEN",IF($M11&gt;='SETUP &amp; TARGETS'!$C13,"AMBER","RED")))</f>
        <v>RED</v>
      </c>
      <c r="Q11" s="56" t="str">
        <f>IFERROR(INDEX('DELAY CODE REGISTER'!$C$6:$C$49,MATCH(G11,'DELAY CODE REGISTER'!$B$6:$B$49,0)),"")</f>
        <v>Engineering Delay: Parts / Spares Delivery</v>
      </c>
    </row>
    <row r="12" spans="2:17" ht="14.25" customHeight="1" x14ac:dyDescent="0.3">
      <c r="B12" s="53">
        <v>46271</v>
      </c>
      <c r="C12" s="54" t="s">
        <v>173</v>
      </c>
      <c r="D12" s="55">
        <v>14193</v>
      </c>
      <c r="E12" s="55">
        <v>14193</v>
      </c>
      <c r="F12" s="29">
        <f t="shared" si="0"/>
        <v>0</v>
      </c>
      <c r="G12" s="55" t="s">
        <v>459</v>
      </c>
      <c r="H12" s="55"/>
      <c r="I12" s="55">
        <v>18</v>
      </c>
      <c r="J12" s="29">
        <f>IF($C12="Y",'SETUP &amp; TARGETS'!$C7,0)</f>
        <v>18</v>
      </c>
      <c r="K12" s="29">
        <f t="shared" si="2"/>
        <v>108</v>
      </c>
      <c r="L12" s="29">
        <f t="shared" si="3"/>
        <v>0</v>
      </c>
      <c r="M12" s="27">
        <f t="shared" si="1"/>
        <v>0</v>
      </c>
      <c r="N12" s="27">
        <f>IF($F12="","",IFERROR($F12/'SETUP &amp; TARGETS'!$C7,0))</f>
        <v>0</v>
      </c>
      <c r="O12" s="27">
        <f>IF(OR($C12&lt;&gt;"Y",COUNT($D12,$E12,$H12,$I12)=0),"",MAX(0,IFERROR(('SETUP &amp; TARGETS'!$C$10-N($I12))/'SETUP &amp; TARGETS'!$C$10,0)))</f>
        <v>0</v>
      </c>
      <c r="P12" s="22" t="str">
        <f>IF($K12=0,"",IF($M12&gt;='SETUP &amp; TARGETS'!$C11,"GREEN",IF($M12&gt;='SETUP &amp; TARGETS'!$C13,"AMBER","RED")))</f>
        <v>RED</v>
      </c>
      <c r="Q12" s="56" t="str">
        <f>IFERROR(INDEX('DELAY CODE REGISTER'!$C$6:$C$49,MATCH(G12,'DELAY CODE REGISTER'!$B$6:$B$49,0)),"")</f>
        <v>Engineering Delay: Parts / Spares Delivery</v>
      </c>
    </row>
    <row r="13" spans="2:17" ht="14.25" customHeight="1" x14ac:dyDescent="0.3">
      <c r="B13" s="53">
        <v>46272</v>
      </c>
      <c r="C13" s="54" t="s">
        <v>173</v>
      </c>
      <c r="D13" s="55">
        <v>14193</v>
      </c>
      <c r="E13" s="55">
        <v>14193</v>
      </c>
      <c r="F13" s="29">
        <f t="shared" si="0"/>
        <v>0</v>
      </c>
      <c r="G13" s="55" t="s">
        <v>459</v>
      </c>
      <c r="H13" s="55"/>
      <c r="I13" s="55">
        <v>18</v>
      </c>
      <c r="J13" s="29">
        <f>IF($C13="Y",'SETUP &amp; TARGETS'!$C7,0)</f>
        <v>18</v>
      </c>
      <c r="K13" s="29">
        <f t="shared" si="2"/>
        <v>126</v>
      </c>
      <c r="L13" s="29">
        <f t="shared" si="3"/>
        <v>0</v>
      </c>
      <c r="M13" s="27">
        <f t="shared" si="1"/>
        <v>0</v>
      </c>
      <c r="N13" s="27">
        <f>IF($F13="","",IFERROR($F13/'SETUP &amp; TARGETS'!$C7,0))</f>
        <v>0</v>
      </c>
      <c r="O13" s="27">
        <f>IF(OR($C13&lt;&gt;"Y",COUNT($D13,$E13,$H13,$I13)=0),"",MAX(0,IFERROR(('SETUP &amp; TARGETS'!$C$10-N($I13))/'SETUP &amp; TARGETS'!$C$10,0)))</f>
        <v>0</v>
      </c>
      <c r="P13" s="22" t="str">
        <f>IF($K13=0,"",IF($M13&gt;='SETUP &amp; TARGETS'!$C11,"GREEN",IF($M13&gt;='SETUP &amp; TARGETS'!$C13,"AMBER","RED")))</f>
        <v>RED</v>
      </c>
      <c r="Q13" s="56" t="str">
        <f>IFERROR(INDEX('DELAY CODE REGISTER'!$C$6:$C$49,MATCH(G13,'DELAY CODE REGISTER'!$B$6:$B$49,0)),"")</f>
        <v>Engineering Delay: Parts / Spares Delivery</v>
      </c>
    </row>
    <row r="14" spans="2:17" ht="14.25" customHeight="1" x14ac:dyDescent="0.3">
      <c r="B14" s="53">
        <v>46273</v>
      </c>
      <c r="C14" s="54" t="s">
        <v>173</v>
      </c>
      <c r="D14" s="55">
        <v>14193</v>
      </c>
      <c r="E14" s="55">
        <v>14193</v>
      </c>
      <c r="F14" s="29">
        <f t="shared" si="0"/>
        <v>0</v>
      </c>
      <c r="G14" s="55" t="s">
        <v>459</v>
      </c>
      <c r="H14" s="55"/>
      <c r="I14" s="55">
        <v>18</v>
      </c>
      <c r="J14" s="29">
        <f>IF($C14="Y",'SETUP &amp; TARGETS'!$C7,0)</f>
        <v>18</v>
      </c>
      <c r="K14" s="29">
        <f t="shared" si="2"/>
        <v>144</v>
      </c>
      <c r="L14" s="29">
        <f t="shared" si="3"/>
        <v>0</v>
      </c>
      <c r="M14" s="27">
        <f t="shared" si="1"/>
        <v>0</v>
      </c>
      <c r="N14" s="27">
        <f>IF($F14="","",IFERROR($F14/'SETUP &amp; TARGETS'!$C7,0))</f>
        <v>0</v>
      </c>
      <c r="O14" s="27">
        <f>IF(OR($C14&lt;&gt;"Y",COUNT($D14,$E14,$H14,$I14)=0),"",MAX(0,IFERROR(('SETUP &amp; TARGETS'!$C$10-N($I14))/'SETUP &amp; TARGETS'!$C$10,0)))</f>
        <v>0</v>
      </c>
      <c r="P14" s="22" t="str">
        <f>IF($K14=0,"",IF($M14&gt;='SETUP &amp; TARGETS'!$C11,"GREEN",IF($M14&gt;='SETUP &amp; TARGETS'!$C13,"AMBER","RED")))</f>
        <v>RED</v>
      </c>
      <c r="Q14" s="56" t="str">
        <f>IFERROR(INDEX('DELAY CODE REGISTER'!$C$6:$C$49,MATCH(G14,'DELAY CODE REGISTER'!$B$6:$B$49,0)),"")</f>
        <v>Engineering Delay: Parts / Spares Delivery</v>
      </c>
    </row>
    <row r="15" spans="2:17" ht="14.25" customHeight="1" x14ac:dyDescent="0.3">
      <c r="B15" s="53">
        <v>46274</v>
      </c>
      <c r="C15" s="54" t="s">
        <v>173</v>
      </c>
      <c r="D15" s="55">
        <v>14193</v>
      </c>
      <c r="E15" s="55">
        <v>14212</v>
      </c>
      <c r="F15" s="29">
        <f t="shared" si="0"/>
        <v>19</v>
      </c>
      <c r="G15" s="55"/>
      <c r="H15" s="55"/>
      <c r="I15" s="55"/>
      <c r="J15" s="29">
        <f>IF($C15="Y",'SETUP &amp; TARGETS'!$C7,0)</f>
        <v>18</v>
      </c>
      <c r="K15" s="29">
        <f t="shared" si="2"/>
        <v>162</v>
      </c>
      <c r="L15" s="29">
        <f t="shared" si="3"/>
        <v>19</v>
      </c>
      <c r="M15" s="27">
        <f t="shared" si="1"/>
        <v>0.11728395061728394</v>
      </c>
      <c r="N15" s="27">
        <f>IF($F15="","",IFERROR($F15/'SETUP &amp; TARGETS'!$C7,0))</f>
        <v>1.0555555555555556</v>
      </c>
      <c r="O15" s="27">
        <f>IF(OR($C15&lt;&gt;"Y",COUNT($D15,$E15,$H15,$I15)=0),"",MAX(0,IFERROR(('SETUP &amp; TARGETS'!$C$10-N($I15))/'SETUP &amp; TARGETS'!$C$10,0)))</f>
        <v>1</v>
      </c>
      <c r="P15" s="22" t="str">
        <f>IF($K15=0,"",IF($M15&gt;='SETUP &amp; TARGETS'!$C11,"GREEN",IF($M15&gt;='SETUP &amp; TARGETS'!$C13,"AMBER","RED")))</f>
        <v>RED</v>
      </c>
      <c r="Q15" s="56" t="str">
        <f>IFERROR(INDEX('DELAY CODE REGISTER'!$C$6:$C$49,MATCH(G15,'DELAY CODE REGISTER'!$B$6:$B$49,0)),"")</f>
        <v/>
      </c>
    </row>
    <row r="16" spans="2:17" ht="14.25" customHeight="1" x14ac:dyDescent="0.3">
      <c r="B16" s="53">
        <v>46275</v>
      </c>
      <c r="C16" s="54" t="s">
        <v>173</v>
      </c>
      <c r="D16" s="55">
        <v>14212</v>
      </c>
      <c r="E16" s="55">
        <v>14228</v>
      </c>
      <c r="F16" s="29">
        <f t="shared" si="0"/>
        <v>16</v>
      </c>
      <c r="G16" s="55" t="s">
        <v>181</v>
      </c>
      <c r="H16" s="55">
        <v>2</v>
      </c>
      <c r="I16" s="55"/>
      <c r="J16" s="29">
        <f>IF($C16="Y",'SETUP &amp; TARGETS'!$C7,0)</f>
        <v>18</v>
      </c>
      <c r="K16" s="29">
        <f t="shared" si="2"/>
        <v>180</v>
      </c>
      <c r="L16" s="29">
        <f t="shared" si="3"/>
        <v>35</v>
      </c>
      <c r="M16" s="27">
        <f t="shared" si="1"/>
        <v>0.19444444444444445</v>
      </c>
      <c r="N16" s="27">
        <f>IF($F16="","",IFERROR($F16/'SETUP &amp; TARGETS'!$C7,0))</f>
        <v>0.88888888888888884</v>
      </c>
      <c r="O16" s="27">
        <f>IF(OR($C16&lt;&gt;"Y",COUNT($D16,$E16,$H16,$I16)=0),"",MAX(0,IFERROR(('SETUP &amp; TARGETS'!$C$10-N($I16))/'SETUP &amp; TARGETS'!$C$10,0)))</f>
        <v>1</v>
      </c>
      <c r="P16" s="22" t="str">
        <f>IF($K16=0,"",IF($M16&gt;='SETUP &amp; TARGETS'!$C11,"GREEN",IF($M16&gt;='SETUP &amp; TARGETS'!$C13,"AMBER","RED")))</f>
        <v>RED</v>
      </c>
      <c r="Q16" s="56" t="str">
        <f>IFERROR(INDEX('DELAY CODE REGISTER'!$C$6:$C$49,MATCH(G16,'DELAY CODE REGISTER'!$B$6:$B$49,0)),"")</f>
        <v>Under Utilization</v>
      </c>
    </row>
    <row r="17" spans="2:17" ht="14.25" customHeight="1" x14ac:dyDescent="0.3">
      <c r="B17" s="53">
        <v>46276</v>
      </c>
      <c r="C17" s="54" t="s">
        <v>173</v>
      </c>
      <c r="D17" s="55">
        <v>14228</v>
      </c>
      <c r="E17" s="55">
        <v>14242</v>
      </c>
      <c r="F17" s="29">
        <f t="shared" si="0"/>
        <v>14</v>
      </c>
      <c r="G17" s="55" t="s">
        <v>181</v>
      </c>
      <c r="H17" s="55">
        <v>4</v>
      </c>
      <c r="I17" s="55"/>
      <c r="J17" s="29">
        <f>IF($C17="Y",'SETUP &amp; TARGETS'!$C7,0)</f>
        <v>18</v>
      </c>
      <c r="K17" s="29">
        <f t="shared" si="2"/>
        <v>198</v>
      </c>
      <c r="L17" s="29">
        <f t="shared" si="3"/>
        <v>49</v>
      </c>
      <c r="M17" s="27">
        <f t="shared" si="1"/>
        <v>0.24747474747474749</v>
      </c>
      <c r="N17" s="27">
        <f>IF($F17="","",IFERROR($F17/'SETUP &amp; TARGETS'!$C7,0))</f>
        <v>0.77777777777777779</v>
      </c>
      <c r="O17" s="27">
        <f>IF(OR($C17&lt;&gt;"Y",COUNT($D17,$E17,$H17,$I17)=0),"",MAX(0,IFERROR(('SETUP &amp; TARGETS'!$C$10-N($I17))/'SETUP &amp; TARGETS'!$C$10,0)))</f>
        <v>1</v>
      </c>
      <c r="P17" s="22" t="str">
        <f>IF($K17=0,"",IF($M17&gt;='SETUP &amp; TARGETS'!$C11,"GREEN",IF($M17&gt;='SETUP &amp; TARGETS'!$C13,"AMBER","RED")))</f>
        <v>RED</v>
      </c>
      <c r="Q17" s="56" t="str">
        <f>IFERROR(INDEX('DELAY CODE REGISTER'!$C$6:$C$49,MATCH(G17,'DELAY CODE REGISTER'!$B$6:$B$49,0)),"")</f>
        <v>Under Utilization</v>
      </c>
    </row>
    <row r="18" spans="2:17" ht="14.25" customHeight="1" x14ac:dyDescent="0.3">
      <c r="B18" s="53">
        <v>46277</v>
      </c>
      <c r="C18" s="54" t="s">
        <v>173</v>
      </c>
      <c r="D18" s="55">
        <v>14242</v>
      </c>
      <c r="E18" s="55">
        <v>14259</v>
      </c>
      <c r="F18" s="29">
        <f t="shared" si="0"/>
        <v>17</v>
      </c>
      <c r="G18" s="55" t="s">
        <v>181</v>
      </c>
      <c r="H18" s="55">
        <v>1</v>
      </c>
      <c r="I18" s="55"/>
      <c r="J18" s="29">
        <f>IF($C18="Y",'SETUP &amp; TARGETS'!$C7,0)</f>
        <v>18</v>
      </c>
      <c r="K18" s="29">
        <f t="shared" si="2"/>
        <v>216</v>
      </c>
      <c r="L18" s="29">
        <f t="shared" si="3"/>
        <v>66</v>
      </c>
      <c r="M18" s="27">
        <f t="shared" si="1"/>
        <v>0.30555555555555558</v>
      </c>
      <c r="N18" s="27">
        <f>IF($F18="","",IFERROR($F18/'SETUP &amp; TARGETS'!$C7,0))</f>
        <v>0.94444444444444442</v>
      </c>
      <c r="O18" s="27">
        <f>IF(OR($C18&lt;&gt;"Y",COUNT($D18,$E18,$H18,$I18)=0),"",MAX(0,IFERROR(('SETUP &amp; TARGETS'!$C$10-N($I18))/'SETUP &amp; TARGETS'!$C$10,0)))</f>
        <v>1</v>
      </c>
      <c r="P18" s="22" t="str">
        <f>IF($K18=0,"",IF($M18&gt;='SETUP &amp; TARGETS'!$C11,"GREEN",IF($M18&gt;='SETUP &amp; TARGETS'!$C13,"AMBER","RED")))</f>
        <v>RED</v>
      </c>
      <c r="Q18" s="56" t="str">
        <f>IFERROR(INDEX('DELAY CODE REGISTER'!$C$6:$C$49,MATCH(G18,'DELAY CODE REGISTER'!$B$6:$B$49,0)),"")</f>
        <v>Under Utilization</v>
      </c>
    </row>
    <row r="19" spans="2:17" ht="14.25" customHeight="1" x14ac:dyDescent="0.3">
      <c r="B19" s="53">
        <v>46278</v>
      </c>
      <c r="C19" s="54" t="s">
        <v>173</v>
      </c>
      <c r="D19" s="55">
        <v>14259</v>
      </c>
      <c r="E19" s="55">
        <v>14276</v>
      </c>
      <c r="F19" s="29">
        <f t="shared" si="0"/>
        <v>17</v>
      </c>
      <c r="G19" s="55" t="s">
        <v>181</v>
      </c>
      <c r="H19" s="55">
        <v>1</v>
      </c>
      <c r="I19" s="55"/>
      <c r="J19" s="29">
        <f>IF($C19="Y",'SETUP &amp; TARGETS'!$C7,0)</f>
        <v>18</v>
      </c>
      <c r="K19" s="29">
        <f t="shared" si="2"/>
        <v>234</v>
      </c>
      <c r="L19" s="29">
        <f t="shared" si="3"/>
        <v>83</v>
      </c>
      <c r="M19" s="27">
        <f t="shared" si="1"/>
        <v>0.35470085470085472</v>
      </c>
      <c r="N19" s="27">
        <f>IF($F19="","",IFERROR($F19/'SETUP &amp; TARGETS'!$C7,0))</f>
        <v>0.94444444444444442</v>
      </c>
      <c r="O19" s="27">
        <f>IF(OR($C19&lt;&gt;"Y",COUNT($D19,$E19,$H19,$I19)=0),"",MAX(0,IFERROR(('SETUP &amp; TARGETS'!$C$10-N($I19))/'SETUP &amp; TARGETS'!$C$10,0)))</f>
        <v>1</v>
      </c>
      <c r="P19" s="22" t="str">
        <f>IF($K19=0,"",IF($M19&gt;='SETUP &amp; TARGETS'!$C11,"GREEN",IF($M19&gt;='SETUP &amp; TARGETS'!$C13,"AMBER","RED")))</f>
        <v>RED</v>
      </c>
      <c r="Q19" s="56" t="str">
        <f>IFERROR(INDEX('DELAY CODE REGISTER'!$C$6:$C$49,MATCH(G19,'DELAY CODE REGISTER'!$B$6:$B$49,0)),"")</f>
        <v>Under Utilization</v>
      </c>
    </row>
    <row r="20" spans="2:17" ht="14.25" customHeight="1" x14ac:dyDescent="0.3">
      <c r="B20" s="53">
        <v>46279</v>
      </c>
      <c r="C20" s="54" t="s">
        <v>173</v>
      </c>
      <c r="D20" s="55">
        <v>14276</v>
      </c>
      <c r="E20" s="55">
        <v>14291</v>
      </c>
      <c r="F20" s="29">
        <f t="shared" si="0"/>
        <v>15</v>
      </c>
      <c r="G20" s="55" t="s">
        <v>181</v>
      </c>
      <c r="H20" s="55">
        <v>3</v>
      </c>
      <c r="I20" s="55"/>
      <c r="J20" s="29">
        <f>IF($C20="Y",'SETUP &amp; TARGETS'!$C7,0)</f>
        <v>18</v>
      </c>
      <c r="K20" s="29">
        <f t="shared" si="2"/>
        <v>252</v>
      </c>
      <c r="L20" s="29">
        <f t="shared" si="3"/>
        <v>98</v>
      </c>
      <c r="M20" s="27">
        <f t="shared" si="1"/>
        <v>0.3888888888888889</v>
      </c>
      <c r="N20" s="27">
        <f>IF($F20="","",IFERROR($F20/'SETUP &amp; TARGETS'!$C7,0))</f>
        <v>0.83333333333333337</v>
      </c>
      <c r="O20" s="27">
        <f>IF(OR($C20&lt;&gt;"Y",COUNT($D20,$E20,$H20,$I20)=0),"",MAX(0,IFERROR(('SETUP &amp; TARGETS'!$C$10-N($I20))/'SETUP &amp; TARGETS'!$C$10,0)))</f>
        <v>1</v>
      </c>
      <c r="P20" s="22" t="str">
        <f>IF($K20=0,"",IF($M20&gt;='SETUP &amp; TARGETS'!$C11,"GREEN",IF($M20&gt;='SETUP &amp; TARGETS'!$C13,"AMBER","RED")))</f>
        <v>RED</v>
      </c>
      <c r="Q20" s="56" t="str">
        <f>IFERROR(INDEX('DELAY CODE REGISTER'!$C$6:$C$49,MATCH(G20,'DELAY CODE REGISTER'!$B$6:$B$49,0)),"")</f>
        <v>Under Utilization</v>
      </c>
    </row>
    <row r="21" spans="2:17" ht="14.25" customHeight="1" x14ac:dyDescent="0.3">
      <c r="B21" s="53">
        <v>46280</v>
      </c>
      <c r="C21" s="54" t="s">
        <v>173</v>
      </c>
      <c r="D21" s="55">
        <v>14291</v>
      </c>
      <c r="E21" s="55">
        <v>14306</v>
      </c>
      <c r="F21" s="29">
        <f t="shared" si="0"/>
        <v>15</v>
      </c>
      <c r="G21" s="55" t="s">
        <v>181</v>
      </c>
      <c r="H21" s="55">
        <v>2</v>
      </c>
      <c r="I21" s="55">
        <v>1</v>
      </c>
      <c r="J21" s="29">
        <f>IF($C21="Y",'SETUP &amp; TARGETS'!$C7,0)</f>
        <v>18</v>
      </c>
      <c r="K21" s="29">
        <f t="shared" si="2"/>
        <v>270</v>
      </c>
      <c r="L21" s="29">
        <f t="shared" si="3"/>
        <v>113</v>
      </c>
      <c r="M21" s="27">
        <f t="shared" si="1"/>
        <v>0.41851851851851851</v>
      </c>
      <c r="N21" s="27">
        <f>IF($F21="","",IFERROR($F21/'SETUP &amp; TARGETS'!$C7,0))</f>
        <v>0.83333333333333337</v>
      </c>
      <c r="O21" s="27">
        <f>IF(OR($C21&lt;&gt;"Y",COUNT($D21,$E21,$H21,$I21)=0),"",MAX(0,IFERROR(('SETUP &amp; TARGETS'!$C$10-N($I21))/'SETUP &amp; TARGETS'!$C$10,0)))</f>
        <v>0.94444444444444442</v>
      </c>
      <c r="P21" s="22" t="str">
        <f>IF($K21=0,"",IF($M21&gt;='SETUP &amp; TARGETS'!$C11,"GREEN",IF($M21&gt;='SETUP &amp; TARGETS'!$C13,"AMBER","RED")))</f>
        <v>RED</v>
      </c>
      <c r="Q21" s="56" t="str">
        <f>IFERROR(INDEX('DELAY CODE REGISTER'!$C$6:$C$49,MATCH(G21,'DELAY CODE REGISTER'!$B$6:$B$49,0)),"")</f>
        <v>Under Utilization</v>
      </c>
    </row>
    <row r="22" spans="2:17" ht="14.25" customHeight="1" x14ac:dyDescent="0.3">
      <c r="B22" s="53">
        <v>46281</v>
      </c>
      <c r="C22" s="54" t="s">
        <v>173</v>
      </c>
      <c r="D22" s="55"/>
      <c r="E22" s="55"/>
      <c r="F22" s="29" t="str">
        <f t="shared" si="0"/>
        <v/>
      </c>
      <c r="G22" s="55"/>
      <c r="H22" s="55"/>
      <c r="I22" s="55"/>
      <c r="J22" s="29">
        <f>IF($C22="Y",'SETUP &amp; TARGETS'!$C7,0)</f>
        <v>18</v>
      </c>
      <c r="K22" s="29">
        <f t="shared" si="2"/>
        <v>288</v>
      </c>
      <c r="L22" s="29">
        <f t="shared" si="3"/>
        <v>113</v>
      </c>
      <c r="M22" s="27">
        <f t="shared" si="1"/>
        <v>0.3923611111111111</v>
      </c>
      <c r="N22" s="27" t="str">
        <f>IF($F22="","",IFERROR($F22/'SETUP &amp; TARGETS'!$C7,0))</f>
        <v/>
      </c>
      <c r="O22" s="27" t="str">
        <f>IF(OR($C22&lt;&gt;"Y",COUNT($D22,$E22,$H22,$I22)=0),"",MAX(0,IFERROR(('SETUP &amp; TARGETS'!$C$10-N($I22))/'SETUP &amp; TARGETS'!$C$10,0)))</f>
        <v/>
      </c>
      <c r="P22" s="22" t="str">
        <f>IF($K22=0,"",IF($M22&gt;='SETUP &amp; TARGETS'!$C11,"GREEN",IF($M22&gt;='SETUP &amp; TARGETS'!$C13,"AMBER","RED")))</f>
        <v>RED</v>
      </c>
      <c r="Q22" s="56" t="str">
        <f>IFERROR(INDEX('DELAY CODE REGISTER'!$C$6:$C$49,MATCH(G22,'DELAY CODE REGISTER'!$B$6:$B$49,0)),"")</f>
        <v/>
      </c>
    </row>
    <row r="23" spans="2:17" ht="14.25" customHeight="1" x14ac:dyDescent="0.3">
      <c r="B23" s="53">
        <v>46282</v>
      </c>
      <c r="C23" s="54" t="s">
        <v>173</v>
      </c>
      <c r="D23" s="55"/>
      <c r="E23" s="55"/>
      <c r="F23" s="29" t="str">
        <f t="shared" si="0"/>
        <v/>
      </c>
      <c r="G23" s="55"/>
      <c r="H23" s="55"/>
      <c r="I23" s="55"/>
      <c r="J23" s="29">
        <f>IF($C23="Y",'SETUP &amp; TARGETS'!$C7,0)</f>
        <v>18</v>
      </c>
      <c r="K23" s="29">
        <f t="shared" si="2"/>
        <v>306</v>
      </c>
      <c r="L23" s="29">
        <f t="shared" si="3"/>
        <v>113</v>
      </c>
      <c r="M23" s="27">
        <f t="shared" si="1"/>
        <v>0.36928104575163401</v>
      </c>
      <c r="N23" s="27" t="str">
        <f>IF($F23="","",IFERROR($F23/'SETUP &amp; TARGETS'!$C7,0))</f>
        <v/>
      </c>
      <c r="O23" s="27" t="str">
        <f>IF(OR($C23&lt;&gt;"Y",COUNT($D23,$E23,$H23,$I23)=0),"",MAX(0,IFERROR(('SETUP &amp; TARGETS'!$C$10-N($I23))/'SETUP &amp; TARGETS'!$C$10,0)))</f>
        <v/>
      </c>
      <c r="P23" s="22" t="str">
        <f>IF($K23=0,"",IF($M23&gt;='SETUP &amp; TARGETS'!$C11,"GREEN",IF($M23&gt;='SETUP &amp; TARGETS'!$C13,"AMBER","RED")))</f>
        <v>RED</v>
      </c>
      <c r="Q23" s="56" t="str">
        <f>IFERROR(INDEX('DELAY CODE REGISTER'!$C$6:$C$49,MATCH(G23,'DELAY CODE REGISTER'!$B$6:$B$49,0)),"")</f>
        <v/>
      </c>
    </row>
    <row r="24" spans="2:17" ht="14.25" customHeight="1" x14ac:dyDescent="0.3">
      <c r="B24" s="53">
        <v>46283</v>
      </c>
      <c r="C24" s="54" t="s">
        <v>173</v>
      </c>
      <c r="D24" s="55"/>
      <c r="E24" s="55"/>
      <c r="F24" s="29" t="str">
        <f t="shared" si="0"/>
        <v/>
      </c>
      <c r="G24" s="55"/>
      <c r="H24" s="55"/>
      <c r="I24" s="55"/>
      <c r="J24" s="29">
        <f>IF($C24="Y",'SETUP &amp; TARGETS'!$C7,0)</f>
        <v>18</v>
      </c>
      <c r="K24" s="29">
        <f t="shared" si="2"/>
        <v>324</v>
      </c>
      <c r="L24" s="29">
        <f t="shared" si="3"/>
        <v>113</v>
      </c>
      <c r="M24" s="27">
        <f t="shared" si="1"/>
        <v>0.34876543209876543</v>
      </c>
      <c r="N24" s="27" t="str">
        <f>IF($F24="","",IFERROR($F24/'SETUP &amp; TARGETS'!$C7,0))</f>
        <v/>
      </c>
      <c r="O24" s="27" t="str">
        <f>IF(OR($C24&lt;&gt;"Y",COUNT($D24,$E24,$H24,$I24)=0),"",MAX(0,IFERROR(('SETUP &amp; TARGETS'!$C$10-N($I24))/'SETUP &amp; TARGETS'!$C$10,0)))</f>
        <v/>
      </c>
      <c r="P24" s="22" t="str">
        <f>IF($K24=0,"",IF($M24&gt;='SETUP &amp; TARGETS'!$C11,"GREEN",IF($M24&gt;='SETUP &amp; TARGETS'!$C13,"AMBER","RED")))</f>
        <v>RED</v>
      </c>
      <c r="Q24" s="56" t="str">
        <f>IFERROR(INDEX('DELAY CODE REGISTER'!$C$6:$C$49,MATCH(G24,'DELAY CODE REGISTER'!$B$6:$B$49,0)),"")</f>
        <v/>
      </c>
    </row>
    <row r="25" spans="2:17" ht="14.25" customHeight="1" x14ac:dyDescent="0.3">
      <c r="B25" s="53">
        <v>46284</v>
      </c>
      <c r="C25" s="54" t="s">
        <v>173</v>
      </c>
      <c r="D25" s="55"/>
      <c r="E25" s="55"/>
      <c r="F25" s="29" t="str">
        <f t="shared" si="0"/>
        <v/>
      </c>
      <c r="G25" s="55"/>
      <c r="H25" s="55"/>
      <c r="I25" s="55"/>
      <c r="J25" s="29">
        <f>IF($C25="Y",'SETUP &amp; TARGETS'!$C7,0)</f>
        <v>18</v>
      </c>
      <c r="K25" s="29">
        <f t="shared" si="2"/>
        <v>342</v>
      </c>
      <c r="L25" s="29">
        <f t="shared" si="3"/>
        <v>113</v>
      </c>
      <c r="M25" s="27">
        <f t="shared" si="1"/>
        <v>0.33040935672514621</v>
      </c>
      <c r="N25" s="27" t="str">
        <f>IF($F25="","",IFERROR($F25/'SETUP &amp; TARGETS'!$C7,0))</f>
        <v/>
      </c>
      <c r="O25" s="27" t="str">
        <f>IF(OR($C25&lt;&gt;"Y",COUNT($D25,$E25,$H25,$I25)=0),"",MAX(0,IFERROR(('SETUP &amp; TARGETS'!$C$10-N($I25))/'SETUP &amp; TARGETS'!$C$10,0)))</f>
        <v/>
      </c>
      <c r="P25" s="22" t="str">
        <f>IF($K25=0,"",IF($M25&gt;='SETUP &amp; TARGETS'!$C11,"GREEN",IF($M25&gt;='SETUP &amp; TARGETS'!$C13,"AMBER","RED")))</f>
        <v>RED</v>
      </c>
      <c r="Q25" s="56" t="str">
        <f>IFERROR(INDEX('DELAY CODE REGISTER'!$C$6:$C$49,MATCH(G25,'DELAY CODE REGISTER'!$B$6:$B$49,0)),"")</f>
        <v/>
      </c>
    </row>
    <row r="26" spans="2:17" ht="14.25" customHeight="1" x14ac:dyDescent="0.3">
      <c r="B26" s="53">
        <v>46285</v>
      </c>
      <c r="C26" s="54" t="s">
        <v>173</v>
      </c>
      <c r="D26" s="55"/>
      <c r="E26" s="55"/>
      <c r="F26" s="29" t="str">
        <f t="shared" si="0"/>
        <v/>
      </c>
      <c r="G26" s="55"/>
      <c r="H26" s="55"/>
      <c r="I26" s="55"/>
      <c r="J26" s="29">
        <f>IF($C26="Y",'SETUP &amp; TARGETS'!$C7,0)</f>
        <v>18</v>
      </c>
      <c r="K26" s="29">
        <f t="shared" si="2"/>
        <v>360</v>
      </c>
      <c r="L26" s="29">
        <f t="shared" si="3"/>
        <v>113</v>
      </c>
      <c r="M26" s="27">
        <f t="shared" si="1"/>
        <v>0.31388888888888888</v>
      </c>
      <c r="N26" s="27" t="str">
        <f>IF($F26="","",IFERROR($F26/'SETUP &amp; TARGETS'!$C7,0))</f>
        <v/>
      </c>
      <c r="O26" s="27" t="str">
        <f>IF(OR($C26&lt;&gt;"Y",COUNT($D26,$E26,$H26,$I26)=0),"",MAX(0,IFERROR(('SETUP &amp; TARGETS'!$C$10-N($I26))/'SETUP &amp; TARGETS'!$C$10,0)))</f>
        <v/>
      </c>
      <c r="P26" s="22" t="str">
        <f>IF($K26=0,"",IF($M26&gt;='SETUP &amp; TARGETS'!$C11,"GREEN",IF($M26&gt;='SETUP &amp; TARGETS'!$C13,"AMBER","RED")))</f>
        <v>RED</v>
      </c>
      <c r="Q26" s="56" t="str">
        <f>IFERROR(INDEX('DELAY CODE REGISTER'!$C$6:$C$49,MATCH(G26,'DELAY CODE REGISTER'!$B$6:$B$49,0)),"")</f>
        <v/>
      </c>
    </row>
    <row r="27" spans="2:17" ht="14.25" customHeight="1" x14ac:dyDescent="0.3">
      <c r="B27" s="53">
        <v>46286</v>
      </c>
      <c r="C27" s="54" t="s">
        <v>173</v>
      </c>
      <c r="D27" s="55"/>
      <c r="E27" s="55"/>
      <c r="F27" s="29" t="str">
        <f t="shared" si="0"/>
        <v/>
      </c>
      <c r="G27" s="55"/>
      <c r="H27" s="55"/>
      <c r="I27" s="55"/>
      <c r="J27" s="29">
        <f>IF($C27="Y",'SETUP &amp; TARGETS'!$C7,0)</f>
        <v>18</v>
      </c>
      <c r="K27" s="29">
        <f t="shared" si="2"/>
        <v>378</v>
      </c>
      <c r="L27" s="29">
        <f t="shared" si="3"/>
        <v>113</v>
      </c>
      <c r="M27" s="27">
        <f t="shared" si="1"/>
        <v>0.29894179894179895</v>
      </c>
      <c r="N27" s="27" t="str">
        <f>IF($F27="","",IFERROR($F27/'SETUP &amp; TARGETS'!$C7,0))</f>
        <v/>
      </c>
      <c r="O27" s="27" t="str">
        <f>IF(OR($C27&lt;&gt;"Y",COUNT($D27,$E27,$H27,$I27)=0),"",MAX(0,IFERROR(('SETUP &amp; TARGETS'!$C$10-N($I27))/'SETUP &amp; TARGETS'!$C$10,0)))</f>
        <v/>
      </c>
      <c r="P27" s="22" t="str">
        <f>IF($K27=0,"",IF($M27&gt;='SETUP &amp; TARGETS'!$C11,"GREEN",IF($M27&gt;='SETUP &amp; TARGETS'!$C13,"AMBER","RED")))</f>
        <v>RED</v>
      </c>
      <c r="Q27" s="56" t="str">
        <f>IFERROR(INDEX('DELAY CODE REGISTER'!$C$6:$C$49,MATCH(G27,'DELAY CODE REGISTER'!$B$6:$B$49,0)),"")</f>
        <v/>
      </c>
    </row>
    <row r="28" spans="2:17" ht="14.25" customHeight="1" x14ac:dyDescent="0.3">
      <c r="B28" s="53">
        <v>46287</v>
      </c>
      <c r="C28" s="54" t="s">
        <v>173</v>
      </c>
      <c r="D28" s="55"/>
      <c r="E28" s="55"/>
      <c r="F28" s="29" t="str">
        <f t="shared" si="0"/>
        <v/>
      </c>
      <c r="G28" s="55"/>
      <c r="H28" s="55"/>
      <c r="I28" s="55"/>
      <c r="J28" s="29">
        <f>IF($C28="Y",'SETUP &amp; TARGETS'!$C7,0)</f>
        <v>18</v>
      </c>
      <c r="K28" s="29">
        <f t="shared" si="2"/>
        <v>396</v>
      </c>
      <c r="L28" s="29">
        <f t="shared" si="3"/>
        <v>113</v>
      </c>
      <c r="M28" s="27">
        <f t="shared" si="1"/>
        <v>0.28535353535353536</v>
      </c>
      <c r="N28" s="27" t="str">
        <f>IF($F28="","",IFERROR($F28/'SETUP &amp; TARGETS'!$C7,0))</f>
        <v/>
      </c>
      <c r="O28" s="27" t="str">
        <f>IF(OR($C28&lt;&gt;"Y",COUNT($D28,$E28,$H28,$I28)=0),"",MAX(0,IFERROR(('SETUP &amp; TARGETS'!$C$10-N($I28))/'SETUP &amp; TARGETS'!$C$10,0)))</f>
        <v/>
      </c>
      <c r="P28" s="22" t="str">
        <f>IF($K28=0,"",IF($M28&gt;='SETUP &amp; TARGETS'!$C11,"GREEN",IF($M28&gt;='SETUP &amp; TARGETS'!$C13,"AMBER","RED")))</f>
        <v>RED</v>
      </c>
      <c r="Q28" s="56" t="str">
        <f>IFERROR(INDEX('DELAY CODE REGISTER'!$C$6:$C$49,MATCH(G28,'DELAY CODE REGISTER'!$B$6:$B$49,0)),"")</f>
        <v/>
      </c>
    </row>
    <row r="29" spans="2:17" ht="14.25" customHeight="1" x14ac:dyDescent="0.3">
      <c r="B29" s="53">
        <v>46288</v>
      </c>
      <c r="C29" s="54" t="s">
        <v>173</v>
      </c>
      <c r="D29" s="55"/>
      <c r="E29" s="55"/>
      <c r="F29" s="29" t="str">
        <f t="shared" si="0"/>
        <v/>
      </c>
      <c r="G29" s="55"/>
      <c r="H29" s="55"/>
      <c r="I29" s="55"/>
      <c r="J29" s="29">
        <f>IF($C29="Y",'SETUP &amp; TARGETS'!$C7,0)</f>
        <v>18</v>
      </c>
      <c r="K29" s="29">
        <f t="shared" si="2"/>
        <v>414</v>
      </c>
      <c r="L29" s="29">
        <f t="shared" si="3"/>
        <v>113</v>
      </c>
      <c r="M29" s="27">
        <f t="shared" si="1"/>
        <v>0.27294685990338163</v>
      </c>
      <c r="N29" s="27" t="str">
        <f>IF($F29="","",IFERROR($F29/'SETUP &amp; TARGETS'!$C7,0))</f>
        <v/>
      </c>
      <c r="O29" s="27" t="str">
        <f>IF(OR($C29&lt;&gt;"Y",COUNT($D29,$E29,$H29,$I29)=0),"",MAX(0,IFERROR(('SETUP &amp; TARGETS'!$C$10-N($I29))/'SETUP &amp; TARGETS'!$C$10,0)))</f>
        <v/>
      </c>
      <c r="P29" s="22" t="str">
        <f>IF($K29=0,"",IF($M29&gt;='SETUP &amp; TARGETS'!$C11,"GREEN",IF($M29&gt;='SETUP &amp; TARGETS'!$C13,"AMBER","RED")))</f>
        <v>RED</v>
      </c>
      <c r="Q29" s="56" t="str">
        <f>IFERROR(INDEX('DELAY CODE REGISTER'!$C$6:$C$49,MATCH(G29,'DELAY CODE REGISTER'!$B$6:$B$49,0)),"")</f>
        <v/>
      </c>
    </row>
    <row r="30" spans="2:17" ht="14.25" customHeight="1" x14ac:dyDescent="0.3">
      <c r="B30" s="53">
        <v>46289</v>
      </c>
      <c r="C30" s="54" t="s">
        <v>173</v>
      </c>
      <c r="D30" s="55"/>
      <c r="E30" s="55"/>
      <c r="F30" s="29" t="str">
        <f t="shared" si="0"/>
        <v/>
      </c>
      <c r="G30" s="55"/>
      <c r="H30" s="55"/>
      <c r="I30" s="55"/>
      <c r="J30" s="29">
        <f>IF($C30="Y",'SETUP &amp; TARGETS'!$C7,0)</f>
        <v>18</v>
      </c>
      <c r="K30" s="29">
        <f t="shared" si="2"/>
        <v>432</v>
      </c>
      <c r="L30" s="29">
        <f t="shared" si="3"/>
        <v>113</v>
      </c>
      <c r="M30" s="27">
        <f t="shared" si="1"/>
        <v>0.26157407407407407</v>
      </c>
      <c r="N30" s="27" t="str">
        <f>IF($F30="","",IFERROR($F30/'SETUP &amp; TARGETS'!$C7,0))</f>
        <v/>
      </c>
      <c r="O30" s="27" t="str">
        <f>IF(OR($C30&lt;&gt;"Y",COUNT($D30,$E30,$H30,$I30)=0),"",MAX(0,IFERROR(('SETUP &amp; TARGETS'!$C$10-N($I30))/'SETUP &amp; TARGETS'!$C$10,0)))</f>
        <v/>
      </c>
      <c r="P30" s="22" t="str">
        <f>IF($K30=0,"",IF($M30&gt;='SETUP &amp; TARGETS'!$C11,"GREEN",IF($M30&gt;='SETUP &amp; TARGETS'!$C13,"AMBER","RED")))</f>
        <v>RED</v>
      </c>
      <c r="Q30" s="56" t="str">
        <f>IFERROR(INDEX('DELAY CODE REGISTER'!$C$6:$C$49,MATCH(G30,'DELAY CODE REGISTER'!$B$6:$B$49,0)),"")</f>
        <v/>
      </c>
    </row>
    <row r="31" spans="2:17" ht="14.25" customHeight="1" x14ac:dyDescent="0.3">
      <c r="B31" s="53">
        <v>46290</v>
      </c>
      <c r="C31" s="54" t="s">
        <v>173</v>
      </c>
      <c r="D31" s="55"/>
      <c r="E31" s="55"/>
      <c r="F31" s="29" t="str">
        <f t="shared" si="0"/>
        <v/>
      </c>
      <c r="G31" s="55"/>
      <c r="H31" s="55"/>
      <c r="I31" s="55"/>
      <c r="J31" s="29">
        <f>IF($C31="Y",'SETUP &amp; TARGETS'!$C7,0)</f>
        <v>18</v>
      </c>
      <c r="K31" s="29">
        <f t="shared" si="2"/>
        <v>450</v>
      </c>
      <c r="L31" s="29">
        <f t="shared" si="3"/>
        <v>113</v>
      </c>
      <c r="M31" s="27">
        <f t="shared" si="1"/>
        <v>0.25111111111111112</v>
      </c>
      <c r="N31" s="27" t="str">
        <f>IF($F31="","",IFERROR($F31/'SETUP &amp; TARGETS'!$C7,0))</f>
        <v/>
      </c>
      <c r="O31" s="27" t="str">
        <f>IF(OR($C31&lt;&gt;"Y",COUNT($D31,$E31,$H31,$I31)=0),"",MAX(0,IFERROR(('SETUP &amp; TARGETS'!$C$10-N($I31))/'SETUP &amp; TARGETS'!$C$10,0)))</f>
        <v/>
      </c>
      <c r="P31" s="22" t="str">
        <f>IF($K31=0,"",IF($M31&gt;='SETUP &amp; TARGETS'!$C11,"GREEN",IF($M31&gt;='SETUP &amp; TARGETS'!$C13,"AMBER","RED")))</f>
        <v>RED</v>
      </c>
      <c r="Q31" s="56" t="str">
        <f>IFERROR(INDEX('DELAY CODE REGISTER'!$C$6:$C$49,MATCH(G31,'DELAY CODE REGISTER'!$B$6:$B$49,0)),"")</f>
        <v/>
      </c>
    </row>
    <row r="32" spans="2:17" ht="14.25" customHeight="1" x14ac:dyDescent="0.3">
      <c r="B32" s="53">
        <v>46291</v>
      </c>
      <c r="C32" s="54" t="s">
        <v>173</v>
      </c>
      <c r="D32" s="55"/>
      <c r="E32" s="55"/>
      <c r="F32" s="29" t="str">
        <f t="shared" si="0"/>
        <v/>
      </c>
      <c r="G32" s="55"/>
      <c r="H32" s="55"/>
      <c r="I32" s="55"/>
      <c r="J32" s="29">
        <f>IF($C32="Y",'SETUP &amp; TARGETS'!$C7,0)</f>
        <v>18</v>
      </c>
      <c r="K32" s="29">
        <f t="shared" si="2"/>
        <v>468</v>
      </c>
      <c r="L32" s="29">
        <f t="shared" si="3"/>
        <v>113</v>
      </c>
      <c r="M32" s="27">
        <f t="shared" si="1"/>
        <v>0.24145299145299146</v>
      </c>
      <c r="N32" s="27" t="str">
        <f>IF($F32="","",IFERROR($F32/'SETUP &amp; TARGETS'!$C7,0))</f>
        <v/>
      </c>
      <c r="O32" s="27" t="str">
        <f>IF(OR($C32&lt;&gt;"Y",COUNT($D32,$E32,$H32,$I32)=0),"",MAX(0,IFERROR(('SETUP &amp; TARGETS'!$C$10-N($I32))/'SETUP &amp; TARGETS'!$C$10,0)))</f>
        <v/>
      </c>
      <c r="P32" s="22" t="str">
        <f>IF($K32=0,"",IF($M32&gt;='SETUP &amp; TARGETS'!$C11,"GREEN",IF($M32&gt;='SETUP &amp; TARGETS'!$C13,"AMBER","RED")))</f>
        <v>RED</v>
      </c>
      <c r="Q32" s="56" t="str">
        <f>IFERROR(INDEX('DELAY CODE REGISTER'!$C$6:$C$49,MATCH(G32,'DELAY CODE REGISTER'!$B$6:$B$49,0)),"")</f>
        <v/>
      </c>
    </row>
    <row r="33" spans="2:17" ht="14.25" customHeight="1" x14ac:dyDescent="0.3">
      <c r="B33" s="53">
        <v>46292</v>
      </c>
      <c r="C33" s="54" t="s">
        <v>173</v>
      </c>
      <c r="D33" s="55"/>
      <c r="E33" s="55"/>
      <c r="F33" s="29" t="str">
        <f t="shared" si="0"/>
        <v/>
      </c>
      <c r="G33" s="55"/>
      <c r="H33" s="55"/>
      <c r="I33" s="55"/>
      <c r="J33" s="29">
        <f>IF($C33="Y",'SETUP &amp; TARGETS'!$C7,0)</f>
        <v>18</v>
      </c>
      <c r="K33" s="29">
        <f t="shared" si="2"/>
        <v>486</v>
      </c>
      <c r="L33" s="29">
        <f t="shared" si="3"/>
        <v>113</v>
      </c>
      <c r="M33" s="27">
        <f t="shared" si="1"/>
        <v>0.23251028806584362</v>
      </c>
      <c r="N33" s="27" t="str">
        <f>IF($F33="","",IFERROR($F33/'SETUP &amp; TARGETS'!$C7,0))</f>
        <v/>
      </c>
      <c r="O33" s="27" t="str">
        <f>IF(OR($C33&lt;&gt;"Y",COUNT($D33,$E33,$H33,$I33)=0),"",MAX(0,IFERROR(('SETUP &amp; TARGETS'!$C$10-N($I33))/'SETUP &amp; TARGETS'!$C$10,0)))</f>
        <v/>
      </c>
      <c r="P33" s="22" t="str">
        <f>IF($K33=0,"",IF($M33&gt;='SETUP &amp; TARGETS'!$C11,"GREEN",IF($M33&gt;='SETUP &amp; TARGETS'!$C13,"AMBER","RED")))</f>
        <v>RED</v>
      </c>
      <c r="Q33" s="56" t="str">
        <f>IFERROR(INDEX('DELAY CODE REGISTER'!$C$6:$C$49,MATCH(G33,'DELAY CODE REGISTER'!$B$6:$B$49,0)),"")</f>
        <v/>
      </c>
    </row>
    <row r="34" spans="2:17" ht="14.25" customHeight="1" x14ac:dyDescent="0.3">
      <c r="B34" s="53">
        <v>46293</v>
      </c>
      <c r="C34" s="54" t="s">
        <v>173</v>
      </c>
      <c r="D34" s="55"/>
      <c r="E34" s="55"/>
      <c r="F34" s="29" t="str">
        <f t="shared" si="0"/>
        <v/>
      </c>
      <c r="G34" s="55"/>
      <c r="H34" s="55"/>
      <c r="I34" s="55"/>
      <c r="J34" s="29">
        <f>IF($C34="Y",'SETUP &amp; TARGETS'!$C7,0)</f>
        <v>18</v>
      </c>
      <c r="K34" s="29">
        <f t="shared" si="2"/>
        <v>504</v>
      </c>
      <c r="L34" s="29">
        <f t="shared" si="3"/>
        <v>113</v>
      </c>
      <c r="M34" s="27">
        <f t="shared" si="1"/>
        <v>0.22420634920634921</v>
      </c>
      <c r="N34" s="27" t="str">
        <f>IF($F34="","",IFERROR($F34/'SETUP &amp; TARGETS'!$C7,0))</f>
        <v/>
      </c>
      <c r="O34" s="27" t="str">
        <f>IF(OR($C34&lt;&gt;"Y",COUNT($D34,$E34,$H34,$I34)=0),"",MAX(0,IFERROR(('SETUP &amp; TARGETS'!$C$10-N($I34))/'SETUP &amp; TARGETS'!$C$10,0)))</f>
        <v/>
      </c>
      <c r="P34" s="22" t="str">
        <f>IF($K34=0,"",IF($M34&gt;='SETUP &amp; TARGETS'!$C11,"GREEN",IF($M34&gt;='SETUP &amp; TARGETS'!$C13,"AMBER","RED")))</f>
        <v>RED</v>
      </c>
      <c r="Q34" s="56" t="str">
        <f>IFERROR(INDEX('DELAY CODE REGISTER'!$C$6:$C$49,MATCH(G34,'DELAY CODE REGISTER'!$B$6:$B$49,0)),"")</f>
        <v/>
      </c>
    </row>
    <row r="35" spans="2:17" ht="14.25" customHeight="1" x14ac:dyDescent="0.3">
      <c r="B35" s="53">
        <v>46294</v>
      </c>
      <c r="C35" s="54" t="s">
        <v>173</v>
      </c>
      <c r="D35" s="55"/>
      <c r="E35" s="55"/>
      <c r="F35" s="29" t="str">
        <f t="shared" si="0"/>
        <v/>
      </c>
      <c r="G35" s="55"/>
      <c r="H35" s="55"/>
      <c r="I35" s="55"/>
      <c r="J35" s="29">
        <f>IF($C35="Y",'SETUP &amp; TARGETS'!$C7,0)</f>
        <v>18</v>
      </c>
      <c r="K35" s="29">
        <f t="shared" si="2"/>
        <v>522</v>
      </c>
      <c r="L35" s="29">
        <f t="shared" si="3"/>
        <v>113</v>
      </c>
      <c r="M35" s="27">
        <f t="shared" si="1"/>
        <v>0.21647509578544061</v>
      </c>
      <c r="N35" s="27" t="str">
        <f>IF($F35="","",IFERROR($F35/'SETUP &amp; TARGETS'!$C7,0))</f>
        <v/>
      </c>
      <c r="O35" s="27" t="str">
        <f>IF(OR($C35&lt;&gt;"Y",COUNT($D35,$E35,$H35,$I35)=0),"",MAX(0,IFERROR(('SETUP &amp; TARGETS'!$C$10-N($I35))/'SETUP &amp; TARGETS'!$C$10,0)))</f>
        <v/>
      </c>
      <c r="P35" s="22" t="str">
        <f>IF($K35=0,"",IF($M35&gt;='SETUP &amp; TARGETS'!$C11,"GREEN",IF($M35&gt;='SETUP &amp; TARGETS'!$C13,"AMBER","RED")))</f>
        <v>RED</v>
      </c>
      <c r="Q35" s="56" t="str">
        <f>IFERROR(INDEX('DELAY CODE REGISTER'!$C$6:$C$49,MATCH(G35,'DELAY CODE REGISTER'!$B$6:$B$49,0)),"")</f>
        <v/>
      </c>
    </row>
    <row r="36" spans="2:17" ht="14.25" customHeight="1" x14ac:dyDescent="0.3">
      <c r="B36" s="53">
        <v>46295</v>
      </c>
      <c r="C36" s="54" t="s">
        <v>173</v>
      </c>
      <c r="D36" s="55"/>
      <c r="E36" s="55"/>
      <c r="F36" s="29" t="str">
        <f t="shared" si="0"/>
        <v/>
      </c>
      <c r="G36" s="55"/>
      <c r="H36" s="55"/>
      <c r="I36" s="55"/>
      <c r="J36" s="29">
        <f>IF($C36="Y",'SETUP &amp; TARGETS'!$C7,0)</f>
        <v>18</v>
      </c>
      <c r="K36" s="29">
        <f t="shared" si="2"/>
        <v>540</v>
      </c>
      <c r="L36" s="29">
        <f t="shared" si="3"/>
        <v>113</v>
      </c>
      <c r="M36" s="27">
        <f t="shared" si="1"/>
        <v>0.20925925925925926</v>
      </c>
      <c r="N36" s="27" t="str">
        <f>IF($F36="","",IFERROR($F36/'SETUP &amp; TARGETS'!$C7,0))</f>
        <v/>
      </c>
      <c r="O36" s="27" t="str">
        <f>IF(OR($C36&lt;&gt;"Y",COUNT($D36,$E36,$H36,$I36)=0),"",MAX(0,IFERROR(('SETUP &amp; TARGETS'!$C$10-N($I36))/'SETUP &amp; TARGETS'!$C$10,0)))</f>
        <v/>
      </c>
      <c r="P36" s="22" t="str">
        <f>IF($K36=0,"",IF($M36&gt;='SETUP &amp; TARGETS'!$C11,"GREEN",IF($M36&gt;='SETUP &amp; TARGETS'!$C13,"AMBER","RED")))</f>
        <v>RED</v>
      </c>
      <c r="Q36" s="56" t="str">
        <f>IFERROR(INDEX('DELAY CODE REGISTER'!$C$6:$C$49,MATCH(G36,'DELAY CODE REGISTER'!$B$6:$B$49,0)),"")</f>
        <v/>
      </c>
    </row>
    <row r="37" spans="2:17" ht="14.25" customHeight="1" x14ac:dyDescent="0.3">
      <c r="B37" s="53"/>
      <c r="C37" s="54" t="s">
        <v>173</v>
      </c>
      <c r="D37" s="55"/>
      <c r="E37" s="55"/>
      <c r="F37" s="29" t="str">
        <f t="shared" si="0"/>
        <v/>
      </c>
      <c r="G37" s="55"/>
      <c r="H37" s="55"/>
      <c r="I37" s="55"/>
      <c r="J37" s="29">
        <f>IF($C37="Y",'SETUP &amp; TARGETS'!$C7,0)</f>
        <v>18</v>
      </c>
      <c r="K37" s="29">
        <f t="shared" si="2"/>
        <v>558</v>
      </c>
      <c r="L37" s="29">
        <f t="shared" si="3"/>
        <v>113</v>
      </c>
      <c r="M37" s="27">
        <f t="shared" si="1"/>
        <v>0.2025089605734767</v>
      </c>
      <c r="N37" s="27" t="str">
        <f>IF($F37="","",IFERROR($F37/'SETUP &amp; TARGETS'!$C7,0))</f>
        <v/>
      </c>
      <c r="O37" s="27" t="str">
        <f>IF(OR($C37&lt;&gt;"Y",COUNT($D37,$E37,$H37,$I37)=0),"",MAX(0,IFERROR(('SETUP &amp; TARGETS'!$C$10-N($I37))/'SETUP &amp; TARGETS'!$C$10,0)))</f>
        <v/>
      </c>
      <c r="P37" s="22" t="str">
        <f>IF($K37=0,"",IF($M37&gt;='SETUP &amp; TARGETS'!$C11,"GREEN",IF($M37&gt;='SETUP &amp; TARGETS'!$C13,"AMBER","RED")))</f>
        <v>RED</v>
      </c>
      <c r="Q37" s="56" t="str">
        <f>IFERROR(INDEX('DELAY CODE REGISTER'!$C$6:$C$49,MATCH(G37,'DELAY CODE REGISTER'!$B$6:$B$49,0)),"")</f>
        <v/>
      </c>
    </row>
    <row r="38" spans="2:17" ht="14.25" customHeight="1" x14ac:dyDescent="0.3">
      <c r="B38" s="23" t="s">
        <v>177</v>
      </c>
      <c r="C38" s="23"/>
      <c r="D38" s="23"/>
      <c r="E38" s="23"/>
      <c r="F38" s="24">
        <f>SUM(F7:F37)</f>
        <v>113</v>
      </c>
      <c r="G38" s="23"/>
      <c r="H38" s="24">
        <f>SUM(H7:H37)</f>
        <v>13</v>
      </c>
      <c r="I38" s="24">
        <f>SUM(I7:I37)</f>
        <v>145</v>
      </c>
      <c r="J38" s="24">
        <f>SUM(J7:J37)</f>
        <v>558</v>
      </c>
      <c r="K38" s="24">
        <f>K37</f>
        <v>558</v>
      </c>
      <c r="L38" s="24">
        <f>L37</f>
        <v>113</v>
      </c>
      <c r="M38" s="26">
        <f>IFERROR(L38/K38,0)</f>
        <v>0.2025089605734767</v>
      </c>
      <c r="N38" s="26">
        <f>IFERROR(F38/'SETUP &amp; TARGETS'!$C9,0)</f>
        <v>0.2025089605734767</v>
      </c>
      <c r="O38" s="26">
        <f>IF(COUNT(O7:O37)=0,0,AVERAGE(O7:O37))</f>
        <v>0.46296296296296297</v>
      </c>
      <c r="P38" s="23"/>
      <c r="Q38" s="23"/>
    </row>
  </sheetData>
  <sheetProtection sheet="1" objects="1" scenarios="1"/>
  <conditionalFormatting sqref="P7:P37">
    <cfRule type="cellIs" dxfId="36" priority="2" operator="equal">
      <formula>"GREEN"</formula>
    </cfRule>
    <cfRule type="cellIs" dxfId="35" priority="3" operator="equal">
      <formula>"AMBER"</formula>
    </cfRule>
    <cfRule type="cellIs" dxfId="34" priority="4" operator="equal">
      <formula>"RED"</formula>
    </cfRule>
  </conditionalFormatting>
  <dataValidations count="2">
    <dataValidation type="list" allowBlank="1" sqref="C7:C37" xr:uid="{00000000-0002-0000-0600-000000000000}">
      <formula1>"Y,N"</formula1>
      <formula2>0</formula2>
    </dataValidation>
    <dataValidation type="custom" allowBlank="1" showInputMessage="1" showErrorMessage="1" sqref="E7:E37" xr:uid="{00000000-0002-0000-0600-000001000000}">
      <formula1>OR(E7="",E7&gt;=D7)</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600-000002000000}">
          <x14:formula1>
            <xm:f>'DELAY CODE REGISTER'!$B$6:$B$49</xm:f>
          </x14:formula1>
          <x14:formula2>
            <xm:f>0</xm:f>
          </x14:formula2>
          <xm:sqref>G7:G37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Q38"/>
  <sheetViews>
    <sheetView showGridLines="0" zoomScale="102" zoomScaleNormal="102" workbookViewId="0">
      <pane xSplit="1" ySplit="6" topLeftCell="B13" activePane="bottomRight" state="frozen"/>
      <selection pane="topRight" activeCell="B1" sqref="B1"/>
      <selection pane="bottomLeft" activeCell="A7" sqref="A7"/>
      <selection pane="bottomRight" activeCell="B7" sqref="B7:B36"/>
    </sheetView>
  </sheetViews>
  <sheetFormatPr defaultColWidth="8.6640625" defaultRowHeight="14.4" x14ac:dyDescent="0.3"/>
  <cols>
    <col min="2" max="2" width="27.6640625" customWidth="1"/>
    <col min="3" max="3" width="11" customWidth="1"/>
    <col min="4" max="4" width="11.33203125" customWidth="1"/>
    <col min="5" max="5" width="12.109375" customWidth="1"/>
    <col min="6" max="7" width="10" customWidth="1"/>
    <col min="8" max="8" width="12" customWidth="1"/>
    <col min="9" max="10" width="10" customWidth="1"/>
    <col min="11" max="13" width="9" customWidth="1"/>
    <col min="14" max="14" width="10" customWidth="1"/>
    <col min="15" max="16" width="9" customWidth="1"/>
    <col min="17" max="17" width="56.33203125" customWidth="1"/>
    <col min="18" max="18" width="46" customWidth="1"/>
  </cols>
  <sheetData>
    <row r="2" spans="2:17" ht="18" customHeight="1" x14ac:dyDescent="0.35">
      <c r="B2" s="13" t="s">
        <v>188</v>
      </c>
    </row>
    <row r="3" spans="2:17" ht="14.25" customHeight="1" x14ac:dyDescent="0.3">
      <c r="B3" s="14" t="s">
        <v>43</v>
      </c>
    </row>
    <row r="4" spans="2:17" ht="14.25" customHeight="1" x14ac:dyDescent="0.3">
      <c r="B4" s="15"/>
    </row>
    <row r="6" spans="2:17" ht="39.75" customHeight="1" x14ac:dyDescent="0.3">
      <c r="B6" s="16" t="s">
        <v>159</v>
      </c>
      <c r="C6" s="16" t="s">
        <v>160</v>
      </c>
      <c r="D6" s="16" t="s">
        <v>161</v>
      </c>
      <c r="E6" s="16" t="s">
        <v>162</v>
      </c>
      <c r="F6" s="16" t="s">
        <v>163</v>
      </c>
      <c r="G6" s="16" t="s">
        <v>164</v>
      </c>
      <c r="H6" s="16" t="s">
        <v>165</v>
      </c>
      <c r="I6" s="16" t="s">
        <v>87</v>
      </c>
      <c r="J6" s="16" t="s">
        <v>166</v>
      </c>
      <c r="K6" s="16" t="s">
        <v>167</v>
      </c>
      <c r="L6" s="16" t="s">
        <v>168</v>
      </c>
      <c r="M6" s="16" t="s">
        <v>169</v>
      </c>
      <c r="N6" s="16" t="s">
        <v>170</v>
      </c>
      <c r="O6" s="16" t="s">
        <v>171</v>
      </c>
      <c r="P6" s="16" t="s">
        <v>95</v>
      </c>
      <c r="Q6" s="16" t="s">
        <v>172</v>
      </c>
    </row>
    <row r="7" spans="2:17" ht="14.25" customHeight="1" x14ac:dyDescent="0.3">
      <c r="B7" s="53">
        <v>46266</v>
      </c>
      <c r="C7" s="54" t="s">
        <v>173</v>
      </c>
      <c r="D7" s="55">
        <v>11881</v>
      </c>
      <c r="E7" s="55">
        <v>11899</v>
      </c>
      <c r="F7" s="29">
        <f t="shared" ref="F7:F37" si="0">IF(OR($E7="",$D7=""),"",MAX(0,$E7-$D7))</f>
        <v>18</v>
      </c>
      <c r="G7" s="55" t="s">
        <v>181</v>
      </c>
      <c r="H7" s="55"/>
      <c r="I7" s="55"/>
      <c r="J7" s="29">
        <f>IF($C7="Y",'SETUP &amp; TARGETS'!$C7,0)</f>
        <v>18</v>
      </c>
      <c r="K7" s="29">
        <f>0+$J7</f>
        <v>18</v>
      </c>
      <c r="L7" s="29">
        <f>0+N($F7)</f>
        <v>18</v>
      </c>
      <c r="M7" s="27">
        <f t="shared" ref="M7:M37" si="1">IFERROR($L7/$K7,0)</f>
        <v>1</v>
      </c>
      <c r="N7" s="27">
        <f>IF($F7="","",IFERROR($F7/'SETUP &amp; TARGETS'!$C7,0))</f>
        <v>1</v>
      </c>
      <c r="O7" s="27">
        <f>IF(OR($C7&lt;&gt;"Y",COUNT($D7,$E7,$H7,$I7)=0),"",MAX(0,IFERROR(('SETUP &amp; TARGETS'!$C$10-N($I7))/'SETUP &amp; TARGETS'!$C$10,0)))</f>
        <v>1</v>
      </c>
      <c r="P7" s="22" t="str">
        <f>IF($K7=0,"",IF($M7&gt;='SETUP &amp; TARGETS'!$C11,"GREEN",IF($M7&gt;='SETUP &amp; TARGETS'!$C13,"AMBER","RED")))</f>
        <v>GREEN</v>
      </c>
      <c r="Q7" s="57" t="str">
        <f>IFERROR(INDEX('DELAY CODE REGISTER'!$C$6:$C$49,MATCH(G7,'DELAY CODE REGISTER'!$B$6:$B$49,0)),"")</f>
        <v>Under Utilization</v>
      </c>
    </row>
    <row r="8" spans="2:17" ht="14.25" customHeight="1" x14ac:dyDescent="0.3">
      <c r="B8" s="53">
        <v>46267</v>
      </c>
      <c r="C8" s="54" t="s">
        <v>173</v>
      </c>
      <c r="D8" s="55">
        <v>11899</v>
      </c>
      <c r="E8" s="55">
        <v>11916</v>
      </c>
      <c r="F8" s="29">
        <f t="shared" si="0"/>
        <v>17</v>
      </c>
      <c r="G8" s="55" t="s">
        <v>181</v>
      </c>
      <c r="H8" s="55">
        <v>1</v>
      </c>
      <c r="I8" s="55"/>
      <c r="J8" s="29">
        <f>IF($C8="Y",'SETUP &amp; TARGETS'!$C7,0)</f>
        <v>18</v>
      </c>
      <c r="K8" s="29">
        <f t="shared" ref="K8:K37" si="2">$K7+$J8</f>
        <v>36</v>
      </c>
      <c r="L8" s="29">
        <f t="shared" ref="L8:L37" si="3">$L7+N($F8)</f>
        <v>35</v>
      </c>
      <c r="M8" s="27">
        <f t="shared" si="1"/>
        <v>0.97222222222222221</v>
      </c>
      <c r="N8" s="27">
        <f>IF($F8="","",IFERROR($F8/'SETUP &amp; TARGETS'!$C7,0))</f>
        <v>0.94444444444444442</v>
      </c>
      <c r="O8" s="27">
        <f>IF(OR($C8&lt;&gt;"Y",COUNT($D8,$E8,$H8,$I8)=0),"",MAX(0,IFERROR(('SETUP &amp; TARGETS'!$C$10-N($I8))/'SETUP &amp; TARGETS'!$C$10,0)))</f>
        <v>1</v>
      </c>
      <c r="P8" s="22" t="str">
        <f>IF($K8=0,"",IF($M8&gt;='SETUP &amp; TARGETS'!$C11,"GREEN",IF($M8&gt;='SETUP &amp; TARGETS'!$C13,"AMBER","RED")))</f>
        <v>GREEN</v>
      </c>
      <c r="Q8" s="57" t="str">
        <f>IFERROR(INDEX('DELAY CODE REGISTER'!$C$6:$C$49,MATCH(G8,'DELAY CODE REGISTER'!$B$6:$B$49,0)),"")</f>
        <v>Under Utilization</v>
      </c>
    </row>
    <row r="9" spans="2:17" ht="14.25" customHeight="1" x14ac:dyDescent="0.3">
      <c r="B9" s="53">
        <v>46268</v>
      </c>
      <c r="C9" s="54" t="s">
        <v>173</v>
      </c>
      <c r="D9" s="55">
        <v>11916</v>
      </c>
      <c r="E9" s="55">
        <v>11931</v>
      </c>
      <c r="F9" s="29">
        <f t="shared" si="0"/>
        <v>15</v>
      </c>
      <c r="G9" s="55" t="s">
        <v>180</v>
      </c>
      <c r="H9" s="55">
        <v>1</v>
      </c>
      <c r="I9" s="55">
        <v>4</v>
      </c>
      <c r="J9" s="29">
        <f>IF($C9="Y",'SETUP &amp; TARGETS'!$C7,0)</f>
        <v>18</v>
      </c>
      <c r="K9" s="29">
        <f t="shared" si="2"/>
        <v>54</v>
      </c>
      <c r="L9" s="29">
        <f t="shared" si="3"/>
        <v>50</v>
      </c>
      <c r="M9" s="27">
        <f t="shared" si="1"/>
        <v>0.92592592592592593</v>
      </c>
      <c r="N9" s="27">
        <f>IF($F9="","",IFERROR($F9/'SETUP &amp; TARGETS'!$C7,0))</f>
        <v>0.83333333333333337</v>
      </c>
      <c r="O9" s="27">
        <f>IF(OR($C9&lt;&gt;"Y",COUNT($D9,$E9,$H9,$I9)=0),"",MAX(0,IFERROR(('SETUP &amp; TARGETS'!$C$10-N($I9))/'SETUP &amp; TARGETS'!$C$10,0)))</f>
        <v>0.77777777777777779</v>
      </c>
      <c r="P9" s="22" t="str">
        <f>IF($K9=0,"",IF($M9&gt;='SETUP &amp; TARGETS'!$C11,"GREEN",IF($M9&gt;='SETUP &amp; TARGETS'!$C13,"AMBER","RED")))</f>
        <v>GREEN</v>
      </c>
      <c r="Q9" s="57" t="str">
        <f>IFERROR(INDEX('DELAY CODE REGISTER'!$C$6:$C$49,MATCH(G9,'DELAY CODE REGISTER'!$B$6:$B$49,0)),"")</f>
        <v>Breakdown: Machine Switching Off Unexpectedly</v>
      </c>
    </row>
    <row r="10" spans="2:17" ht="14.25" customHeight="1" x14ac:dyDescent="0.3">
      <c r="B10" s="53">
        <v>46269</v>
      </c>
      <c r="C10" s="54" t="s">
        <v>173</v>
      </c>
      <c r="D10" s="55">
        <v>11931</v>
      </c>
      <c r="E10" s="55">
        <v>11944</v>
      </c>
      <c r="F10" s="29">
        <f t="shared" si="0"/>
        <v>13</v>
      </c>
      <c r="G10" s="55" t="s">
        <v>398</v>
      </c>
      <c r="H10" s="55">
        <v>7</v>
      </c>
      <c r="I10" s="55"/>
      <c r="J10" s="29">
        <f>IF($C10="Y",'SETUP &amp; TARGETS'!$C7,0)</f>
        <v>18</v>
      </c>
      <c r="K10" s="29">
        <f t="shared" si="2"/>
        <v>72</v>
      </c>
      <c r="L10" s="29">
        <f t="shared" si="3"/>
        <v>63</v>
      </c>
      <c r="M10" s="27">
        <f t="shared" si="1"/>
        <v>0.875</v>
      </c>
      <c r="N10" s="27">
        <f>IF($F10="","",IFERROR($F10/'SETUP &amp; TARGETS'!$C7,0))</f>
        <v>0.72222222222222221</v>
      </c>
      <c r="O10" s="27">
        <f>IF(OR($C10&lt;&gt;"Y",COUNT($D10,$E10,$H10,$I10)=0),"",MAX(0,IFERROR(('SETUP &amp; TARGETS'!$C$10-N($I10))/'SETUP &amp; TARGETS'!$C$10,0)))</f>
        <v>1</v>
      </c>
      <c r="P10" s="22" t="str">
        <f>IF($K10=0,"",IF($M10&gt;='SETUP &amp; TARGETS'!$C11,"GREEN",IF($M10&gt;='SETUP &amp; TARGETS'!$C13,"AMBER","RED")))</f>
        <v>GREEN</v>
      </c>
      <c r="Q10" s="57" t="str">
        <f>IFERROR(INDEX('DELAY CODE REGISTER'!$C$6:$C$49,MATCH(G10,'DELAY CODE REGISTER'!$B$6:$B$49,0)),"")</f>
        <v>Work Area Not Available / Blasting</v>
      </c>
    </row>
    <row r="11" spans="2:17" ht="14.25" customHeight="1" x14ac:dyDescent="0.3">
      <c r="B11" s="53">
        <v>46270</v>
      </c>
      <c r="C11" s="54" t="s">
        <v>173</v>
      </c>
      <c r="D11" s="55">
        <v>11944</v>
      </c>
      <c r="E11" s="55">
        <v>11963</v>
      </c>
      <c r="F11" s="29">
        <f t="shared" si="0"/>
        <v>19</v>
      </c>
      <c r="G11" s="55"/>
      <c r="H11" s="55"/>
      <c r="I11" s="55"/>
      <c r="J11" s="29">
        <f>IF($C11="Y",'SETUP &amp; TARGETS'!$C7,0)</f>
        <v>18</v>
      </c>
      <c r="K11" s="29">
        <f t="shared" si="2"/>
        <v>90</v>
      </c>
      <c r="L11" s="29">
        <f t="shared" si="3"/>
        <v>82</v>
      </c>
      <c r="M11" s="27">
        <f t="shared" si="1"/>
        <v>0.91111111111111109</v>
      </c>
      <c r="N11" s="27">
        <f>IF($F11="","",IFERROR($F11/'SETUP &amp; TARGETS'!$C7,0))</f>
        <v>1.0555555555555556</v>
      </c>
      <c r="O11" s="27">
        <f>IF(OR($C11&lt;&gt;"Y",COUNT($D11,$E11,$H11,$I11)=0),"",MAX(0,IFERROR(('SETUP &amp; TARGETS'!$C$10-N($I11))/'SETUP &amp; TARGETS'!$C$10,0)))</f>
        <v>1</v>
      </c>
      <c r="P11" s="22" t="str">
        <f>IF($K11=0,"",IF($M11&gt;='SETUP &amp; TARGETS'!$C11,"GREEN",IF($M11&gt;='SETUP &amp; TARGETS'!$C13,"AMBER","RED")))</f>
        <v>GREEN</v>
      </c>
      <c r="Q11" s="57" t="str">
        <f>IFERROR(INDEX('DELAY CODE REGISTER'!$C$6:$C$49,MATCH(G11,'DELAY CODE REGISTER'!$B$6:$B$49,0)),"")</f>
        <v/>
      </c>
    </row>
    <row r="12" spans="2:17" ht="14.25" customHeight="1" x14ac:dyDescent="0.3">
      <c r="B12" s="53">
        <v>46271</v>
      </c>
      <c r="C12" s="54" t="s">
        <v>173</v>
      </c>
      <c r="D12" s="55">
        <v>11963</v>
      </c>
      <c r="E12" s="55">
        <v>11976</v>
      </c>
      <c r="F12" s="29">
        <f t="shared" si="0"/>
        <v>13</v>
      </c>
      <c r="G12" s="55" t="s">
        <v>182</v>
      </c>
      <c r="H12" s="55">
        <v>7</v>
      </c>
      <c r="I12" s="55"/>
      <c r="J12" s="29">
        <f>IF($C12="Y",'SETUP &amp; TARGETS'!$C7,0)</f>
        <v>18</v>
      </c>
      <c r="K12" s="29">
        <f t="shared" si="2"/>
        <v>108</v>
      </c>
      <c r="L12" s="29">
        <f t="shared" si="3"/>
        <v>95</v>
      </c>
      <c r="M12" s="27">
        <f t="shared" si="1"/>
        <v>0.87962962962962965</v>
      </c>
      <c r="N12" s="27">
        <f>IF($F12="","",IFERROR($F12/'SETUP &amp; TARGETS'!$C7,0))</f>
        <v>0.72222222222222221</v>
      </c>
      <c r="O12" s="27">
        <f>IF(OR($C12&lt;&gt;"Y",COUNT($D12,$E12,$H12,$I12)=0),"",MAX(0,IFERROR(('SETUP &amp; TARGETS'!$C$10-N($I12))/'SETUP &amp; TARGETS'!$C$10,0)))</f>
        <v>1</v>
      </c>
      <c r="P12" s="22" t="str">
        <f>IF($K12=0,"",IF($M12&gt;='SETUP &amp; TARGETS'!$C11,"GREEN",IF($M12&gt;='SETUP &amp; TARGETS'!$C13,"AMBER","RED")))</f>
        <v>GREEN</v>
      </c>
      <c r="Q12" s="57" t="str">
        <f>IFERROR(INDEX('DELAY CODE REGISTER'!$C$6:$C$49,MATCH(G12,'DELAY CODE REGISTER'!$B$6:$B$49,0)),"")</f>
        <v>Production stoppage due Internal MHSA Sec54</v>
      </c>
    </row>
    <row r="13" spans="2:17" ht="14.25" customHeight="1" x14ac:dyDescent="0.3">
      <c r="B13" s="53">
        <v>46272</v>
      </c>
      <c r="C13" s="54" t="s">
        <v>173</v>
      </c>
      <c r="D13" s="55">
        <v>11976</v>
      </c>
      <c r="E13" s="55">
        <v>11988</v>
      </c>
      <c r="F13" s="29">
        <f t="shared" si="0"/>
        <v>12</v>
      </c>
      <c r="G13" s="55" t="s">
        <v>181</v>
      </c>
      <c r="H13" s="55">
        <v>6</v>
      </c>
      <c r="I13" s="55"/>
      <c r="J13" s="29">
        <f>IF($C13="Y",'SETUP &amp; TARGETS'!$C7,0)</f>
        <v>18</v>
      </c>
      <c r="K13" s="29">
        <f t="shared" si="2"/>
        <v>126</v>
      </c>
      <c r="L13" s="29">
        <f t="shared" si="3"/>
        <v>107</v>
      </c>
      <c r="M13" s="27">
        <f t="shared" si="1"/>
        <v>0.84920634920634919</v>
      </c>
      <c r="N13" s="27">
        <f>IF($F13="","",IFERROR($F13/'SETUP &amp; TARGETS'!$C7,0))</f>
        <v>0.66666666666666663</v>
      </c>
      <c r="O13" s="27">
        <f>IF(OR($C13&lt;&gt;"Y",COUNT($D13,$E13,$H13,$I13)=0),"",MAX(0,IFERROR(('SETUP &amp; TARGETS'!$C$10-N($I13))/'SETUP &amp; TARGETS'!$C$10,0)))</f>
        <v>1</v>
      </c>
      <c r="P13" s="22" t="str">
        <f>IF($K13=0,"",IF($M13&gt;='SETUP &amp; TARGETS'!$C11,"GREEN",IF($M13&gt;='SETUP &amp; TARGETS'!$C13,"AMBER","RED")))</f>
        <v>GREEN</v>
      </c>
      <c r="Q13" s="57" t="str">
        <f>IFERROR(INDEX('DELAY CODE REGISTER'!$C$6:$C$49,MATCH(G13,'DELAY CODE REGISTER'!$B$6:$B$49,0)),"")</f>
        <v>Under Utilization</v>
      </c>
    </row>
    <row r="14" spans="2:17" ht="14.25" customHeight="1" x14ac:dyDescent="0.3">
      <c r="B14" s="53">
        <v>46273</v>
      </c>
      <c r="C14" s="54" t="s">
        <v>173</v>
      </c>
      <c r="D14" s="55">
        <v>11988</v>
      </c>
      <c r="E14" s="55">
        <v>12004</v>
      </c>
      <c r="F14" s="29">
        <f t="shared" si="0"/>
        <v>16</v>
      </c>
      <c r="G14" s="55" t="s">
        <v>181</v>
      </c>
      <c r="H14" s="55">
        <v>2</v>
      </c>
      <c r="I14" s="55"/>
      <c r="J14" s="29">
        <f>IF($C14="Y",'SETUP &amp; TARGETS'!$C7,0)</f>
        <v>18</v>
      </c>
      <c r="K14" s="29">
        <f t="shared" si="2"/>
        <v>144</v>
      </c>
      <c r="L14" s="29">
        <f t="shared" si="3"/>
        <v>123</v>
      </c>
      <c r="M14" s="27">
        <f t="shared" si="1"/>
        <v>0.85416666666666663</v>
      </c>
      <c r="N14" s="27">
        <f>IF($F14="","",IFERROR($F14/'SETUP &amp; TARGETS'!$C7,0))</f>
        <v>0.88888888888888884</v>
      </c>
      <c r="O14" s="27">
        <f>IF(OR($C14&lt;&gt;"Y",COUNT($D14,$E14,$H14,$I14)=0),"",MAX(0,IFERROR(('SETUP &amp; TARGETS'!$C$10-N($I14))/'SETUP &amp; TARGETS'!$C$10,0)))</f>
        <v>1</v>
      </c>
      <c r="P14" s="22" t="str">
        <f>IF($K14=0,"",IF($M14&gt;='SETUP &amp; TARGETS'!$C11,"GREEN",IF($M14&gt;='SETUP &amp; TARGETS'!$C13,"AMBER","RED")))</f>
        <v>GREEN</v>
      </c>
      <c r="Q14" s="57" t="str">
        <f>IFERROR(INDEX('DELAY CODE REGISTER'!$C$6:$C$49,MATCH(G14,'DELAY CODE REGISTER'!$B$6:$B$49,0)),"")</f>
        <v>Under Utilization</v>
      </c>
    </row>
    <row r="15" spans="2:17" ht="14.25" customHeight="1" x14ac:dyDescent="0.3">
      <c r="B15" s="53">
        <v>46274</v>
      </c>
      <c r="C15" s="54" t="s">
        <v>173</v>
      </c>
      <c r="D15" s="55">
        <v>12004</v>
      </c>
      <c r="E15" s="55">
        <v>12021</v>
      </c>
      <c r="F15" s="29">
        <f t="shared" si="0"/>
        <v>17</v>
      </c>
      <c r="G15" s="55" t="s">
        <v>181</v>
      </c>
      <c r="H15" s="55">
        <v>1</v>
      </c>
      <c r="I15" s="55"/>
      <c r="J15" s="29">
        <f>IF($C15="Y",'SETUP &amp; TARGETS'!$C7,0)</f>
        <v>18</v>
      </c>
      <c r="K15" s="29">
        <f t="shared" si="2"/>
        <v>162</v>
      </c>
      <c r="L15" s="29">
        <f t="shared" si="3"/>
        <v>140</v>
      </c>
      <c r="M15" s="27">
        <f t="shared" si="1"/>
        <v>0.86419753086419748</v>
      </c>
      <c r="N15" s="27">
        <f>IF($F15="","",IFERROR($F15/'SETUP &amp; TARGETS'!$C7,0))</f>
        <v>0.94444444444444442</v>
      </c>
      <c r="O15" s="27">
        <f>IF(OR($C15&lt;&gt;"Y",COUNT($D15,$E15,$H15,$I15)=0),"",MAX(0,IFERROR(('SETUP &amp; TARGETS'!$C$10-N($I15))/'SETUP &amp; TARGETS'!$C$10,0)))</f>
        <v>1</v>
      </c>
      <c r="P15" s="22" t="str">
        <f>IF($K15=0,"",IF($M15&gt;='SETUP &amp; TARGETS'!$C11,"GREEN",IF($M15&gt;='SETUP &amp; TARGETS'!$C13,"AMBER","RED")))</f>
        <v>GREEN</v>
      </c>
      <c r="Q15" s="57" t="str">
        <f>IFERROR(INDEX('DELAY CODE REGISTER'!$C$6:$C$49,MATCH(G15,'DELAY CODE REGISTER'!$B$6:$B$49,0)),"")</f>
        <v>Under Utilization</v>
      </c>
    </row>
    <row r="16" spans="2:17" ht="14.25" customHeight="1" x14ac:dyDescent="0.3">
      <c r="B16" s="53">
        <v>46275</v>
      </c>
      <c r="C16" s="54" t="s">
        <v>173</v>
      </c>
      <c r="D16" s="55">
        <v>12021</v>
      </c>
      <c r="E16" s="55">
        <v>12036</v>
      </c>
      <c r="F16" s="29">
        <f t="shared" si="0"/>
        <v>15</v>
      </c>
      <c r="G16" s="55" t="s">
        <v>181</v>
      </c>
      <c r="H16" s="55">
        <v>3</v>
      </c>
      <c r="I16" s="55"/>
      <c r="J16" s="29">
        <f>IF($C16="Y",'SETUP &amp; TARGETS'!$C7,0)</f>
        <v>18</v>
      </c>
      <c r="K16" s="29">
        <f t="shared" si="2"/>
        <v>180</v>
      </c>
      <c r="L16" s="29">
        <f t="shared" si="3"/>
        <v>155</v>
      </c>
      <c r="M16" s="27">
        <f t="shared" si="1"/>
        <v>0.86111111111111116</v>
      </c>
      <c r="N16" s="27">
        <f>IF($F16="","",IFERROR($F16/'SETUP &amp; TARGETS'!$C7,0))</f>
        <v>0.83333333333333337</v>
      </c>
      <c r="O16" s="27">
        <f>IF(OR($C16&lt;&gt;"Y",COUNT($D16,$E16,$H16,$I16)=0),"",MAX(0,IFERROR(('SETUP &amp; TARGETS'!$C$10-N($I16))/'SETUP &amp; TARGETS'!$C$10,0)))</f>
        <v>1</v>
      </c>
      <c r="P16" s="22" t="str">
        <f>IF($K16=0,"",IF($M16&gt;='SETUP &amp; TARGETS'!$C11,"GREEN",IF($M16&gt;='SETUP &amp; TARGETS'!$C13,"AMBER","RED")))</f>
        <v>GREEN</v>
      </c>
      <c r="Q16" s="57" t="str">
        <f>IFERROR(INDEX('DELAY CODE REGISTER'!$C$6:$C$49,MATCH(G16,'DELAY CODE REGISTER'!$B$6:$B$49,0)),"")</f>
        <v>Under Utilization</v>
      </c>
    </row>
    <row r="17" spans="2:17" ht="14.25" customHeight="1" x14ac:dyDescent="0.3">
      <c r="B17" s="53">
        <v>46276</v>
      </c>
      <c r="C17" s="54" t="s">
        <v>173</v>
      </c>
      <c r="D17" s="55">
        <v>12036</v>
      </c>
      <c r="E17" s="55">
        <v>12047</v>
      </c>
      <c r="F17" s="29">
        <f t="shared" si="0"/>
        <v>11</v>
      </c>
      <c r="G17" s="55" t="s">
        <v>451</v>
      </c>
      <c r="H17" s="55">
        <v>1</v>
      </c>
      <c r="I17" s="55">
        <v>6</v>
      </c>
      <c r="J17" s="29">
        <f>IF($C17="Y",'SETUP &amp; TARGETS'!$C7,0)</f>
        <v>18</v>
      </c>
      <c r="K17" s="29">
        <f t="shared" si="2"/>
        <v>198</v>
      </c>
      <c r="L17" s="29">
        <f t="shared" si="3"/>
        <v>166</v>
      </c>
      <c r="M17" s="27">
        <f t="shared" si="1"/>
        <v>0.83838383838383834</v>
      </c>
      <c r="N17" s="27">
        <f>IF($F17="","",IFERROR($F17/'SETUP &amp; TARGETS'!$C7,0))</f>
        <v>0.61111111111111116</v>
      </c>
      <c r="O17" s="27">
        <f>IF(OR($C17&lt;&gt;"Y",COUNT($D17,$E17,$H17,$I17)=0),"",MAX(0,IFERROR(('SETUP &amp; TARGETS'!$C$10-N($I17))/'SETUP &amp; TARGETS'!$C$10,0)))</f>
        <v>0.66666666666666663</v>
      </c>
      <c r="P17" s="22" t="str">
        <f>IF($K17=0,"",IF($M17&gt;='SETUP &amp; TARGETS'!$C11,"GREEN",IF($M17&gt;='SETUP &amp; TARGETS'!$C13,"AMBER","RED")))</f>
        <v>GREEN</v>
      </c>
      <c r="Q17" s="57" t="str">
        <f>IFERROR(INDEX('DELAY CODE REGISTER'!$C$6:$C$49,MATCH(G17,'DELAY CODE REGISTER'!$B$6:$B$49,0)),"")</f>
        <v>Scheduled Maintenance / Service</v>
      </c>
    </row>
    <row r="18" spans="2:17" ht="14.25" customHeight="1" x14ac:dyDescent="0.3">
      <c r="B18" s="53">
        <v>46277</v>
      </c>
      <c r="C18" s="54" t="s">
        <v>173</v>
      </c>
      <c r="D18" s="55">
        <v>12047</v>
      </c>
      <c r="E18" s="55">
        <v>12063</v>
      </c>
      <c r="F18" s="29">
        <f t="shared" si="0"/>
        <v>16</v>
      </c>
      <c r="G18" s="55" t="s">
        <v>181</v>
      </c>
      <c r="H18" s="55">
        <v>2</v>
      </c>
      <c r="I18" s="55"/>
      <c r="J18" s="29">
        <f>IF($C18="Y",'SETUP &amp; TARGETS'!$C7,0)</f>
        <v>18</v>
      </c>
      <c r="K18" s="29">
        <f t="shared" si="2"/>
        <v>216</v>
      </c>
      <c r="L18" s="29">
        <f t="shared" si="3"/>
        <v>182</v>
      </c>
      <c r="M18" s="27">
        <f t="shared" si="1"/>
        <v>0.84259259259259256</v>
      </c>
      <c r="N18" s="27">
        <f>IF($F18="","",IFERROR($F18/'SETUP &amp; TARGETS'!$C7,0))</f>
        <v>0.88888888888888884</v>
      </c>
      <c r="O18" s="27">
        <f>IF(OR($C18&lt;&gt;"Y",COUNT($D18,$E18,$H18,$I18)=0),"",MAX(0,IFERROR(('SETUP &amp; TARGETS'!$C$10-N($I18))/'SETUP &amp; TARGETS'!$C$10,0)))</f>
        <v>1</v>
      </c>
      <c r="P18" s="22" t="str">
        <f>IF($K18=0,"",IF($M18&gt;='SETUP &amp; TARGETS'!$C11,"GREEN",IF($M18&gt;='SETUP &amp; TARGETS'!$C13,"AMBER","RED")))</f>
        <v>GREEN</v>
      </c>
      <c r="Q18" s="57" t="str">
        <f>IFERROR(INDEX('DELAY CODE REGISTER'!$C$6:$C$49,MATCH(G18,'DELAY CODE REGISTER'!$B$6:$B$49,0)),"")</f>
        <v>Under Utilization</v>
      </c>
    </row>
    <row r="19" spans="2:17" ht="14.25" customHeight="1" x14ac:dyDescent="0.3">
      <c r="B19" s="53">
        <v>46278</v>
      </c>
      <c r="C19" s="54" t="s">
        <v>173</v>
      </c>
      <c r="D19" s="55">
        <v>12063</v>
      </c>
      <c r="E19" s="55">
        <v>12081</v>
      </c>
      <c r="F19" s="29">
        <f t="shared" si="0"/>
        <v>18</v>
      </c>
      <c r="G19" s="55"/>
      <c r="H19" s="55"/>
      <c r="I19" s="55"/>
      <c r="J19" s="29">
        <f>IF($C19="Y",'SETUP &amp; TARGETS'!$C7,0)</f>
        <v>18</v>
      </c>
      <c r="K19" s="29">
        <f t="shared" si="2"/>
        <v>234</v>
      </c>
      <c r="L19" s="29">
        <f t="shared" si="3"/>
        <v>200</v>
      </c>
      <c r="M19" s="27">
        <f t="shared" si="1"/>
        <v>0.85470085470085466</v>
      </c>
      <c r="N19" s="27">
        <f>IF($F19="","",IFERROR($F19/'SETUP &amp; TARGETS'!$C7,0))</f>
        <v>1</v>
      </c>
      <c r="O19" s="27">
        <f>IF(OR($C19&lt;&gt;"Y",COUNT($D19,$E19,$H19,$I19)=0),"",MAX(0,IFERROR(('SETUP &amp; TARGETS'!$C$10-N($I19))/'SETUP &amp; TARGETS'!$C$10,0)))</f>
        <v>1</v>
      </c>
      <c r="P19" s="22" t="str">
        <f>IF($K19=0,"",IF($M19&gt;='SETUP &amp; TARGETS'!$C11,"GREEN",IF($M19&gt;='SETUP &amp; TARGETS'!$C13,"AMBER","RED")))</f>
        <v>GREEN</v>
      </c>
      <c r="Q19" s="57" t="str">
        <f>IFERROR(INDEX('DELAY CODE REGISTER'!$C$6:$C$49,MATCH(G19,'DELAY CODE REGISTER'!$B$6:$B$49,0)),"")</f>
        <v/>
      </c>
    </row>
    <row r="20" spans="2:17" ht="14.25" customHeight="1" x14ac:dyDescent="0.3">
      <c r="B20" s="53">
        <v>46279</v>
      </c>
      <c r="C20" s="54" t="s">
        <v>173</v>
      </c>
      <c r="D20" s="55">
        <v>12081</v>
      </c>
      <c r="E20" s="55">
        <v>12098</v>
      </c>
      <c r="F20" s="29">
        <f t="shared" si="0"/>
        <v>17</v>
      </c>
      <c r="G20" s="55" t="s">
        <v>191</v>
      </c>
      <c r="H20" s="55"/>
      <c r="I20" s="55">
        <v>1</v>
      </c>
      <c r="J20" s="29">
        <f>IF($C20="Y",'SETUP &amp; TARGETS'!$C7,0)</f>
        <v>18</v>
      </c>
      <c r="K20" s="29">
        <f t="shared" si="2"/>
        <v>252</v>
      </c>
      <c r="L20" s="29">
        <f t="shared" si="3"/>
        <v>217</v>
      </c>
      <c r="M20" s="27">
        <f t="shared" si="1"/>
        <v>0.86111111111111116</v>
      </c>
      <c r="N20" s="27">
        <f>IF($F20="","",IFERROR($F20/'SETUP &amp; TARGETS'!$C7,0))</f>
        <v>0.94444444444444442</v>
      </c>
      <c r="O20" s="27">
        <f>IF(OR($C20&lt;&gt;"Y",COUNT($D20,$E20,$H20,$I20)=0),"",MAX(0,IFERROR(('SETUP &amp; TARGETS'!$C$10-N($I20))/'SETUP &amp; TARGETS'!$C$10,0)))</f>
        <v>0.94444444444444442</v>
      </c>
      <c r="P20" s="22" t="str">
        <f>IF($K20=0,"",IF($M20&gt;='SETUP &amp; TARGETS'!$C11,"GREEN",IF($M20&gt;='SETUP &amp; TARGETS'!$C13,"AMBER","RED")))</f>
        <v>GREEN</v>
      </c>
      <c r="Q20" s="57" t="str">
        <f>IFERROR(INDEX('DELAY CODE REGISTER'!$C$6:$C$49,MATCH(G20,'DELAY CODE REGISTER'!$B$6:$B$49,0)),"")</f>
        <v>Engineering Delay: Electrician / Electrical Fault</v>
      </c>
    </row>
    <row r="21" spans="2:17" ht="14.25" customHeight="1" x14ac:dyDescent="0.3">
      <c r="B21" s="53">
        <v>46280</v>
      </c>
      <c r="C21" s="54" t="s">
        <v>173</v>
      </c>
      <c r="D21" s="55">
        <v>12098</v>
      </c>
      <c r="E21" s="55">
        <v>12112</v>
      </c>
      <c r="F21" s="29">
        <f t="shared" si="0"/>
        <v>14</v>
      </c>
      <c r="G21" s="55" t="s">
        <v>181</v>
      </c>
      <c r="H21" s="55">
        <v>4</v>
      </c>
      <c r="I21" s="55"/>
      <c r="J21" s="29">
        <f>IF($C21="Y",'SETUP &amp; TARGETS'!$C7,0)</f>
        <v>18</v>
      </c>
      <c r="K21" s="29">
        <f t="shared" si="2"/>
        <v>270</v>
      </c>
      <c r="L21" s="29">
        <f t="shared" si="3"/>
        <v>231</v>
      </c>
      <c r="M21" s="27">
        <f t="shared" si="1"/>
        <v>0.85555555555555551</v>
      </c>
      <c r="N21" s="27">
        <f>IF($F21="","",IFERROR($F21/'SETUP &amp; TARGETS'!$C7,0))</f>
        <v>0.77777777777777779</v>
      </c>
      <c r="O21" s="27">
        <f>IF(OR($C21&lt;&gt;"Y",COUNT($D21,$E21,$H21,$I21)=0),"",MAX(0,IFERROR(('SETUP &amp; TARGETS'!$C$10-N($I21))/'SETUP &amp; TARGETS'!$C$10,0)))</f>
        <v>1</v>
      </c>
      <c r="P21" s="22" t="str">
        <f>IF($K21=0,"",IF($M21&gt;='SETUP &amp; TARGETS'!$C11,"GREEN",IF($M21&gt;='SETUP &amp; TARGETS'!$C13,"AMBER","RED")))</f>
        <v>GREEN</v>
      </c>
      <c r="Q21" s="57" t="str">
        <f>IFERROR(INDEX('DELAY CODE REGISTER'!$C$6:$C$49,MATCH(G21,'DELAY CODE REGISTER'!$B$6:$B$49,0)),"")</f>
        <v>Under Utilization</v>
      </c>
    </row>
    <row r="22" spans="2:17" ht="14.25" customHeight="1" x14ac:dyDescent="0.3">
      <c r="B22" s="53">
        <v>46281</v>
      </c>
      <c r="C22" s="54" t="s">
        <v>173</v>
      </c>
      <c r="D22" s="55"/>
      <c r="E22" s="55"/>
      <c r="F22" s="29" t="str">
        <f t="shared" si="0"/>
        <v/>
      </c>
      <c r="G22" s="55"/>
      <c r="H22" s="55"/>
      <c r="I22" s="55"/>
      <c r="J22" s="29">
        <f>IF($C22="Y",'SETUP &amp; TARGETS'!$C7,0)</f>
        <v>18</v>
      </c>
      <c r="K22" s="29">
        <f t="shared" si="2"/>
        <v>288</v>
      </c>
      <c r="L22" s="29">
        <f t="shared" si="3"/>
        <v>231</v>
      </c>
      <c r="M22" s="27">
        <f t="shared" si="1"/>
        <v>0.80208333333333337</v>
      </c>
      <c r="N22" s="27" t="str">
        <f>IF($F22="","",IFERROR($F22/'SETUP &amp; TARGETS'!$C7,0))</f>
        <v/>
      </c>
      <c r="O22" s="27" t="str">
        <f>IF(OR($C22&lt;&gt;"Y",COUNT($D22,$E22,$H22,$I22)=0),"",MAX(0,IFERROR(('SETUP &amp; TARGETS'!$C$10-N($I22))/'SETUP &amp; TARGETS'!$C$10,0)))</f>
        <v/>
      </c>
      <c r="P22" s="22" t="str">
        <f>IF($K22=0,"",IF($M22&gt;='SETUP &amp; TARGETS'!$C11,"GREEN",IF($M22&gt;='SETUP &amp; TARGETS'!$C13,"AMBER","RED")))</f>
        <v>GREEN</v>
      </c>
      <c r="Q22" s="57" t="str">
        <f>IFERROR(INDEX('DELAY CODE REGISTER'!$C$6:$C$49,MATCH(G22,'DELAY CODE REGISTER'!$B$6:$B$49,0)),"")</f>
        <v/>
      </c>
    </row>
    <row r="23" spans="2:17" ht="14.25" customHeight="1" x14ac:dyDescent="0.3">
      <c r="B23" s="53">
        <v>46282</v>
      </c>
      <c r="C23" s="54" t="s">
        <v>173</v>
      </c>
      <c r="D23" s="55"/>
      <c r="E23" s="55"/>
      <c r="F23" s="29" t="str">
        <f t="shared" si="0"/>
        <v/>
      </c>
      <c r="G23" s="55"/>
      <c r="H23" s="55"/>
      <c r="I23" s="55"/>
      <c r="J23" s="29">
        <f>IF($C23="Y",'SETUP &amp; TARGETS'!$C7,0)</f>
        <v>18</v>
      </c>
      <c r="K23" s="29">
        <f t="shared" si="2"/>
        <v>306</v>
      </c>
      <c r="L23" s="29">
        <f t="shared" si="3"/>
        <v>231</v>
      </c>
      <c r="M23" s="27">
        <f t="shared" si="1"/>
        <v>0.75490196078431371</v>
      </c>
      <c r="N23" s="27" t="str">
        <f>IF($F23="","",IFERROR($F23/'SETUP &amp; TARGETS'!$C7,0))</f>
        <v/>
      </c>
      <c r="O23" s="27" t="str">
        <f>IF(OR($C23&lt;&gt;"Y",COUNT($D23,$E23,$H23,$I23)=0),"",MAX(0,IFERROR(('SETUP &amp; TARGETS'!$C$10-N($I23))/'SETUP &amp; TARGETS'!$C$10,0)))</f>
        <v/>
      </c>
      <c r="P23" s="22" t="str">
        <f>IF($K23=0,"",IF($M23&gt;='SETUP &amp; TARGETS'!$C11,"GREEN",IF($M23&gt;='SETUP &amp; TARGETS'!$C13,"AMBER","RED")))</f>
        <v>AMBER</v>
      </c>
      <c r="Q23" s="57" t="str">
        <f>IFERROR(INDEX('DELAY CODE REGISTER'!$C$6:$C$49,MATCH(G23,'DELAY CODE REGISTER'!$B$6:$B$49,0)),"")</f>
        <v/>
      </c>
    </row>
    <row r="24" spans="2:17" ht="14.25" customHeight="1" x14ac:dyDescent="0.3">
      <c r="B24" s="53">
        <v>46283</v>
      </c>
      <c r="C24" s="54" t="s">
        <v>173</v>
      </c>
      <c r="D24" s="55"/>
      <c r="E24" s="55"/>
      <c r="F24" s="29" t="str">
        <f t="shared" si="0"/>
        <v/>
      </c>
      <c r="G24" s="55"/>
      <c r="H24" s="55"/>
      <c r="I24" s="55"/>
      <c r="J24" s="29">
        <f>IF($C24="Y",'SETUP &amp; TARGETS'!$C7,0)</f>
        <v>18</v>
      </c>
      <c r="K24" s="29">
        <f t="shared" si="2"/>
        <v>324</v>
      </c>
      <c r="L24" s="29">
        <f t="shared" si="3"/>
        <v>231</v>
      </c>
      <c r="M24" s="27">
        <f t="shared" si="1"/>
        <v>0.71296296296296291</v>
      </c>
      <c r="N24" s="27" t="str">
        <f>IF($F24="","",IFERROR($F24/'SETUP &amp; TARGETS'!$C7,0))</f>
        <v/>
      </c>
      <c r="O24" s="27" t="str">
        <f>IF(OR($C24&lt;&gt;"Y",COUNT($D24,$E24,$H24,$I24)=0),"",MAX(0,IFERROR(('SETUP &amp; TARGETS'!$C$10-N($I24))/'SETUP &amp; TARGETS'!$C$10,0)))</f>
        <v/>
      </c>
      <c r="P24" s="22" t="str">
        <f>IF($K24=0,"",IF($M24&gt;='SETUP &amp; TARGETS'!$C11,"GREEN",IF($M24&gt;='SETUP &amp; TARGETS'!$C13,"AMBER","RED")))</f>
        <v>AMBER</v>
      </c>
      <c r="Q24" s="57" t="str">
        <f>IFERROR(INDEX('DELAY CODE REGISTER'!$C$6:$C$49,MATCH(G24,'DELAY CODE REGISTER'!$B$6:$B$49,0)),"")</f>
        <v/>
      </c>
    </row>
    <row r="25" spans="2:17" ht="14.25" customHeight="1" x14ac:dyDescent="0.3">
      <c r="B25" s="53">
        <v>46284</v>
      </c>
      <c r="C25" s="54" t="s">
        <v>173</v>
      </c>
      <c r="D25" s="55"/>
      <c r="E25" s="55"/>
      <c r="F25" s="29" t="str">
        <f t="shared" si="0"/>
        <v/>
      </c>
      <c r="G25" s="55"/>
      <c r="H25" s="55"/>
      <c r="I25" s="55"/>
      <c r="J25" s="29">
        <f>IF($C25="Y",'SETUP &amp; TARGETS'!$C7,0)</f>
        <v>18</v>
      </c>
      <c r="K25" s="29">
        <f t="shared" si="2"/>
        <v>342</v>
      </c>
      <c r="L25" s="29">
        <f t="shared" si="3"/>
        <v>231</v>
      </c>
      <c r="M25" s="27">
        <f t="shared" si="1"/>
        <v>0.67543859649122806</v>
      </c>
      <c r="N25" s="27" t="str">
        <f>IF($F25="","",IFERROR($F25/'SETUP &amp; TARGETS'!$C7,0))</f>
        <v/>
      </c>
      <c r="O25" s="27" t="str">
        <f>IF(OR($C25&lt;&gt;"Y",COUNT($D25,$E25,$H25,$I25)=0),"",MAX(0,IFERROR(('SETUP &amp; TARGETS'!$C$10-N($I25))/'SETUP &amp; TARGETS'!$C$10,0)))</f>
        <v/>
      </c>
      <c r="P25" s="22" t="str">
        <f>IF($K25=0,"",IF($M25&gt;='SETUP &amp; TARGETS'!$C11,"GREEN",IF($M25&gt;='SETUP &amp; TARGETS'!$C13,"AMBER","RED")))</f>
        <v>RED</v>
      </c>
      <c r="Q25" s="57" t="str">
        <f>IFERROR(INDEX('DELAY CODE REGISTER'!$C$6:$C$49,MATCH(G25,'DELAY CODE REGISTER'!$B$6:$B$49,0)),"")</f>
        <v/>
      </c>
    </row>
    <row r="26" spans="2:17" ht="14.25" customHeight="1" x14ac:dyDescent="0.3">
      <c r="B26" s="53">
        <v>46285</v>
      </c>
      <c r="C26" s="54" t="s">
        <v>173</v>
      </c>
      <c r="D26" s="55"/>
      <c r="E26" s="55"/>
      <c r="F26" s="29" t="str">
        <f t="shared" si="0"/>
        <v/>
      </c>
      <c r="G26" s="55"/>
      <c r="H26" s="55"/>
      <c r="I26" s="55"/>
      <c r="J26" s="29">
        <f>IF($C26="Y",'SETUP &amp; TARGETS'!$C7,0)</f>
        <v>18</v>
      </c>
      <c r="K26" s="29">
        <f t="shared" si="2"/>
        <v>360</v>
      </c>
      <c r="L26" s="29">
        <f t="shared" si="3"/>
        <v>231</v>
      </c>
      <c r="M26" s="27">
        <f t="shared" si="1"/>
        <v>0.64166666666666672</v>
      </c>
      <c r="N26" s="27" t="str">
        <f>IF($F26="","",IFERROR($F26/'SETUP &amp; TARGETS'!$C7,0))</f>
        <v/>
      </c>
      <c r="O26" s="27" t="str">
        <f>IF(OR($C26&lt;&gt;"Y",COUNT($D26,$E26,$H26,$I26)=0),"",MAX(0,IFERROR(('SETUP &amp; TARGETS'!$C$10-N($I26))/'SETUP &amp; TARGETS'!$C$10,0)))</f>
        <v/>
      </c>
      <c r="P26" s="22" t="str">
        <f>IF($K26=0,"",IF($M26&gt;='SETUP &amp; TARGETS'!$C11,"GREEN",IF($M26&gt;='SETUP &amp; TARGETS'!$C13,"AMBER","RED")))</f>
        <v>RED</v>
      </c>
      <c r="Q26" s="57" t="str">
        <f>IFERROR(INDEX('DELAY CODE REGISTER'!$C$6:$C$49,MATCH(G26,'DELAY CODE REGISTER'!$B$6:$B$49,0)),"")</f>
        <v/>
      </c>
    </row>
    <row r="27" spans="2:17" ht="14.25" customHeight="1" x14ac:dyDescent="0.3">
      <c r="B27" s="53">
        <v>46286</v>
      </c>
      <c r="C27" s="54" t="s">
        <v>173</v>
      </c>
      <c r="D27" s="55"/>
      <c r="E27" s="55"/>
      <c r="F27" s="29" t="str">
        <f t="shared" si="0"/>
        <v/>
      </c>
      <c r="G27" s="55"/>
      <c r="H27" s="55"/>
      <c r="I27" s="55"/>
      <c r="J27" s="29">
        <f>IF($C27="Y",'SETUP &amp; TARGETS'!$C7,0)</f>
        <v>18</v>
      </c>
      <c r="K27" s="29">
        <f t="shared" si="2"/>
        <v>378</v>
      </c>
      <c r="L27" s="29">
        <f t="shared" si="3"/>
        <v>231</v>
      </c>
      <c r="M27" s="27">
        <f t="shared" si="1"/>
        <v>0.61111111111111116</v>
      </c>
      <c r="N27" s="27" t="str">
        <f>IF($F27="","",IFERROR($F27/'SETUP &amp; TARGETS'!$C7,0))</f>
        <v/>
      </c>
      <c r="O27" s="27" t="str">
        <f>IF(OR($C27&lt;&gt;"Y",COUNT($D27,$E27,$H27,$I27)=0),"",MAX(0,IFERROR(('SETUP &amp; TARGETS'!$C$10-N($I27))/'SETUP &amp; TARGETS'!$C$10,0)))</f>
        <v/>
      </c>
      <c r="P27" s="22" t="str">
        <f>IF($K27=0,"",IF($M27&gt;='SETUP &amp; TARGETS'!$C11,"GREEN",IF($M27&gt;='SETUP &amp; TARGETS'!$C13,"AMBER","RED")))</f>
        <v>RED</v>
      </c>
      <c r="Q27" s="57" t="str">
        <f>IFERROR(INDEX('DELAY CODE REGISTER'!$C$6:$C$49,MATCH(G27,'DELAY CODE REGISTER'!$B$6:$B$49,0)),"")</f>
        <v/>
      </c>
    </row>
    <row r="28" spans="2:17" ht="14.25" customHeight="1" x14ac:dyDescent="0.3">
      <c r="B28" s="53">
        <v>46287</v>
      </c>
      <c r="C28" s="54" t="s">
        <v>173</v>
      </c>
      <c r="D28" s="55"/>
      <c r="E28" s="55"/>
      <c r="F28" s="29" t="str">
        <f t="shared" si="0"/>
        <v/>
      </c>
      <c r="G28" s="55"/>
      <c r="H28" s="55"/>
      <c r="I28" s="55"/>
      <c r="J28" s="29">
        <f>IF($C28="Y",'SETUP &amp; TARGETS'!$C7,0)</f>
        <v>18</v>
      </c>
      <c r="K28" s="29">
        <f t="shared" si="2"/>
        <v>396</v>
      </c>
      <c r="L28" s="29">
        <f t="shared" si="3"/>
        <v>231</v>
      </c>
      <c r="M28" s="27">
        <f t="shared" si="1"/>
        <v>0.58333333333333337</v>
      </c>
      <c r="N28" s="27" t="str">
        <f>IF($F28="","",IFERROR($F28/'SETUP &amp; TARGETS'!$C7,0))</f>
        <v/>
      </c>
      <c r="O28" s="27" t="str">
        <f>IF(OR($C28&lt;&gt;"Y",COUNT($D28,$E28,$H28,$I28)=0),"",MAX(0,IFERROR(('SETUP &amp; TARGETS'!$C$10-N($I28))/'SETUP &amp; TARGETS'!$C$10,0)))</f>
        <v/>
      </c>
      <c r="P28" s="22" t="str">
        <f>IF($K28=0,"",IF($M28&gt;='SETUP &amp; TARGETS'!$C11,"GREEN",IF($M28&gt;='SETUP &amp; TARGETS'!$C13,"AMBER","RED")))</f>
        <v>RED</v>
      </c>
      <c r="Q28" s="57" t="str">
        <f>IFERROR(INDEX('DELAY CODE REGISTER'!$C$6:$C$49,MATCH(G28,'DELAY CODE REGISTER'!$B$6:$B$49,0)),"")</f>
        <v/>
      </c>
    </row>
    <row r="29" spans="2:17" ht="14.25" customHeight="1" x14ac:dyDescent="0.3">
      <c r="B29" s="53">
        <v>46288</v>
      </c>
      <c r="C29" s="54" t="s">
        <v>173</v>
      </c>
      <c r="D29" s="55"/>
      <c r="E29" s="55"/>
      <c r="F29" s="29" t="str">
        <f t="shared" si="0"/>
        <v/>
      </c>
      <c r="G29" s="55"/>
      <c r="H29" s="55"/>
      <c r="I29" s="55"/>
      <c r="J29" s="29">
        <f>IF($C29="Y",'SETUP &amp; TARGETS'!$C7,0)</f>
        <v>18</v>
      </c>
      <c r="K29" s="29">
        <f t="shared" si="2"/>
        <v>414</v>
      </c>
      <c r="L29" s="29">
        <f t="shared" si="3"/>
        <v>231</v>
      </c>
      <c r="M29" s="27">
        <f t="shared" si="1"/>
        <v>0.55797101449275366</v>
      </c>
      <c r="N29" s="27" t="str">
        <f>IF($F29="","",IFERROR($F29/'SETUP &amp; TARGETS'!$C7,0))</f>
        <v/>
      </c>
      <c r="O29" s="27" t="str">
        <f>IF(OR($C29&lt;&gt;"Y",COUNT($D29,$E29,$H29,$I29)=0),"",MAX(0,IFERROR(('SETUP &amp; TARGETS'!$C$10-N($I29))/'SETUP &amp; TARGETS'!$C$10,0)))</f>
        <v/>
      </c>
      <c r="P29" s="22" t="str">
        <f>IF($K29=0,"",IF($M29&gt;='SETUP &amp; TARGETS'!$C11,"GREEN",IF($M29&gt;='SETUP &amp; TARGETS'!$C13,"AMBER","RED")))</f>
        <v>RED</v>
      </c>
      <c r="Q29" s="57" t="str">
        <f>IFERROR(INDEX('DELAY CODE REGISTER'!$C$6:$C$49,MATCH(G29,'DELAY CODE REGISTER'!$B$6:$B$49,0)),"")</f>
        <v/>
      </c>
    </row>
    <row r="30" spans="2:17" ht="14.25" customHeight="1" x14ac:dyDescent="0.3">
      <c r="B30" s="53">
        <v>46289</v>
      </c>
      <c r="C30" s="54" t="s">
        <v>173</v>
      </c>
      <c r="D30" s="55"/>
      <c r="E30" s="55"/>
      <c r="F30" s="29" t="str">
        <f t="shared" si="0"/>
        <v/>
      </c>
      <c r="G30" s="55"/>
      <c r="H30" s="55"/>
      <c r="I30" s="55"/>
      <c r="J30" s="29">
        <f>IF($C30="Y",'SETUP &amp; TARGETS'!$C7,0)</f>
        <v>18</v>
      </c>
      <c r="K30" s="29">
        <f t="shared" si="2"/>
        <v>432</v>
      </c>
      <c r="L30" s="29">
        <f t="shared" si="3"/>
        <v>231</v>
      </c>
      <c r="M30" s="27">
        <f t="shared" si="1"/>
        <v>0.53472222222222221</v>
      </c>
      <c r="N30" s="27" t="str">
        <f>IF($F30="","",IFERROR($F30/'SETUP &amp; TARGETS'!$C7,0))</f>
        <v/>
      </c>
      <c r="O30" s="27" t="str">
        <f>IF(OR($C30&lt;&gt;"Y",COUNT($D30,$E30,$H30,$I30)=0),"",MAX(0,IFERROR(('SETUP &amp; TARGETS'!$C$10-N($I30))/'SETUP &amp; TARGETS'!$C$10,0)))</f>
        <v/>
      </c>
      <c r="P30" s="22" t="str">
        <f>IF($K30=0,"",IF($M30&gt;='SETUP &amp; TARGETS'!$C11,"GREEN",IF($M30&gt;='SETUP &amp; TARGETS'!$C13,"AMBER","RED")))</f>
        <v>RED</v>
      </c>
      <c r="Q30" s="57" t="str">
        <f>IFERROR(INDEX('DELAY CODE REGISTER'!$C$6:$C$49,MATCH(G30,'DELAY CODE REGISTER'!$B$6:$B$49,0)),"")</f>
        <v/>
      </c>
    </row>
    <row r="31" spans="2:17" ht="14.25" customHeight="1" x14ac:dyDescent="0.3">
      <c r="B31" s="53">
        <v>46290</v>
      </c>
      <c r="C31" s="54" t="s">
        <v>173</v>
      </c>
      <c r="D31" s="55"/>
      <c r="E31" s="55"/>
      <c r="F31" s="29" t="str">
        <f t="shared" si="0"/>
        <v/>
      </c>
      <c r="G31" s="55"/>
      <c r="H31" s="55"/>
      <c r="I31" s="55"/>
      <c r="J31" s="29">
        <f>IF($C31="Y",'SETUP &amp; TARGETS'!$C7,0)</f>
        <v>18</v>
      </c>
      <c r="K31" s="29">
        <f t="shared" si="2"/>
        <v>450</v>
      </c>
      <c r="L31" s="29">
        <f t="shared" si="3"/>
        <v>231</v>
      </c>
      <c r="M31" s="27">
        <f t="shared" si="1"/>
        <v>0.51333333333333331</v>
      </c>
      <c r="N31" s="27" t="str">
        <f>IF($F31="","",IFERROR($F31/'SETUP &amp; TARGETS'!$C7,0))</f>
        <v/>
      </c>
      <c r="O31" s="27" t="str">
        <f>IF(OR($C31&lt;&gt;"Y",COUNT($D31,$E31,$H31,$I31)=0),"",MAX(0,IFERROR(('SETUP &amp; TARGETS'!$C$10-N($I31))/'SETUP &amp; TARGETS'!$C$10,0)))</f>
        <v/>
      </c>
      <c r="P31" s="22" t="str">
        <f>IF($K31=0,"",IF($M31&gt;='SETUP &amp; TARGETS'!$C11,"GREEN",IF($M31&gt;='SETUP &amp; TARGETS'!$C13,"AMBER","RED")))</f>
        <v>RED</v>
      </c>
      <c r="Q31" s="57" t="str">
        <f>IFERROR(INDEX('DELAY CODE REGISTER'!$C$6:$C$49,MATCH(G31,'DELAY CODE REGISTER'!$B$6:$B$49,0)),"")</f>
        <v/>
      </c>
    </row>
    <row r="32" spans="2:17" ht="14.25" customHeight="1" x14ac:dyDescent="0.3">
      <c r="B32" s="53">
        <v>46291</v>
      </c>
      <c r="C32" s="54" t="s">
        <v>173</v>
      </c>
      <c r="D32" s="55"/>
      <c r="E32" s="55"/>
      <c r="F32" s="29" t="str">
        <f t="shared" si="0"/>
        <v/>
      </c>
      <c r="G32" s="55"/>
      <c r="H32" s="55"/>
      <c r="I32" s="55"/>
      <c r="J32" s="29">
        <f>IF($C32="Y",'SETUP &amp; TARGETS'!$C7,0)</f>
        <v>18</v>
      </c>
      <c r="K32" s="29">
        <f t="shared" si="2"/>
        <v>468</v>
      </c>
      <c r="L32" s="29">
        <f t="shared" si="3"/>
        <v>231</v>
      </c>
      <c r="M32" s="27">
        <f t="shared" si="1"/>
        <v>0.49358974358974361</v>
      </c>
      <c r="N32" s="27" t="str">
        <f>IF($F32="","",IFERROR($F32/'SETUP &amp; TARGETS'!$C7,0))</f>
        <v/>
      </c>
      <c r="O32" s="27" t="str">
        <f>IF(OR($C32&lt;&gt;"Y",COUNT($D32,$E32,$H32,$I32)=0),"",MAX(0,IFERROR(('SETUP &amp; TARGETS'!$C$10-N($I32))/'SETUP &amp; TARGETS'!$C$10,0)))</f>
        <v/>
      </c>
      <c r="P32" s="22" t="str">
        <f>IF($K32=0,"",IF($M32&gt;='SETUP &amp; TARGETS'!$C11,"GREEN",IF($M32&gt;='SETUP &amp; TARGETS'!$C13,"AMBER","RED")))</f>
        <v>RED</v>
      </c>
      <c r="Q32" s="57" t="str">
        <f>IFERROR(INDEX('DELAY CODE REGISTER'!$C$6:$C$49,MATCH(G32,'DELAY CODE REGISTER'!$B$6:$B$49,0)),"")</f>
        <v/>
      </c>
    </row>
    <row r="33" spans="2:17" ht="14.25" customHeight="1" x14ac:dyDescent="0.3">
      <c r="B33" s="53">
        <v>46292</v>
      </c>
      <c r="C33" s="54" t="s">
        <v>173</v>
      </c>
      <c r="D33" s="55"/>
      <c r="E33" s="55"/>
      <c r="F33" s="29" t="str">
        <f t="shared" si="0"/>
        <v/>
      </c>
      <c r="G33" s="55"/>
      <c r="H33" s="55"/>
      <c r="I33" s="55"/>
      <c r="J33" s="29">
        <f>IF($C33="Y",'SETUP &amp; TARGETS'!$C7,0)</f>
        <v>18</v>
      </c>
      <c r="K33" s="29">
        <f t="shared" si="2"/>
        <v>486</v>
      </c>
      <c r="L33" s="29">
        <f t="shared" si="3"/>
        <v>231</v>
      </c>
      <c r="M33" s="27">
        <f t="shared" si="1"/>
        <v>0.47530864197530864</v>
      </c>
      <c r="N33" s="27" t="str">
        <f>IF($F33="","",IFERROR($F33/'SETUP &amp; TARGETS'!$C7,0))</f>
        <v/>
      </c>
      <c r="O33" s="27" t="str">
        <f>IF(OR($C33&lt;&gt;"Y",COUNT($D33,$E33,$H33,$I33)=0),"",MAX(0,IFERROR(('SETUP &amp; TARGETS'!$C$10-N($I33))/'SETUP &amp; TARGETS'!$C$10,0)))</f>
        <v/>
      </c>
      <c r="P33" s="22" t="str">
        <f>IF($K33=0,"",IF($M33&gt;='SETUP &amp; TARGETS'!$C11,"GREEN",IF($M33&gt;='SETUP &amp; TARGETS'!$C13,"AMBER","RED")))</f>
        <v>RED</v>
      </c>
      <c r="Q33" s="57" t="str">
        <f>IFERROR(INDEX('DELAY CODE REGISTER'!$C$6:$C$49,MATCH(G33,'DELAY CODE REGISTER'!$B$6:$B$49,0)),"")</f>
        <v/>
      </c>
    </row>
    <row r="34" spans="2:17" ht="14.25" customHeight="1" x14ac:dyDescent="0.3">
      <c r="B34" s="53">
        <v>46293</v>
      </c>
      <c r="C34" s="54" t="s">
        <v>173</v>
      </c>
      <c r="D34" s="55"/>
      <c r="E34" s="55"/>
      <c r="F34" s="29" t="str">
        <f t="shared" si="0"/>
        <v/>
      </c>
      <c r="G34" s="55"/>
      <c r="H34" s="55"/>
      <c r="I34" s="55"/>
      <c r="J34" s="29">
        <f>IF($C34="Y",'SETUP &amp; TARGETS'!$C7,0)</f>
        <v>18</v>
      </c>
      <c r="K34" s="29">
        <f t="shared" si="2"/>
        <v>504</v>
      </c>
      <c r="L34" s="29">
        <f t="shared" si="3"/>
        <v>231</v>
      </c>
      <c r="M34" s="27">
        <f t="shared" si="1"/>
        <v>0.45833333333333331</v>
      </c>
      <c r="N34" s="27" t="str">
        <f>IF($F34="","",IFERROR($F34/'SETUP &amp; TARGETS'!$C7,0))</f>
        <v/>
      </c>
      <c r="O34" s="27" t="str">
        <f>IF(OR($C34&lt;&gt;"Y",COUNT($D34,$E34,$H34,$I34)=0),"",MAX(0,IFERROR(('SETUP &amp; TARGETS'!$C$10-N($I34))/'SETUP &amp; TARGETS'!$C$10,0)))</f>
        <v/>
      </c>
      <c r="P34" s="22" t="str">
        <f>IF($K34=0,"",IF($M34&gt;='SETUP &amp; TARGETS'!$C11,"GREEN",IF($M34&gt;='SETUP &amp; TARGETS'!$C13,"AMBER","RED")))</f>
        <v>RED</v>
      </c>
      <c r="Q34" s="57" t="str">
        <f>IFERROR(INDEX('DELAY CODE REGISTER'!$C$6:$C$49,MATCH(G34,'DELAY CODE REGISTER'!$B$6:$B$49,0)),"")</f>
        <v/>
      </c>
    </row>
    <row r="35" spans="2:17" ht="14.25" customHeight="1" x14ac:dyDescent="0.3">
      <c r="B35" s="53">
        <v>46294</v>
      </c>
      <c r="C35" s="54" t="s">
        <v>173</v>
      </c>
      <c r="D35" s="55"/>
      <c r="E35" s="55"/>
      <c r="F35" s="29" t="str">
        <f t="shared" si="0"/>
        <v/>
      </c>
      <c r="G35" s="55"/>
      <c r="H35" s="55"/>
      <c r="I35" s="55"/>
      <c r="J35" s="29">
        <f>IF($C35="Y",'SETUP &amp; TARGETS'!$C7,0)</f>
        <v>18</v>
      </c>
      <c r="K35" s="29">
        <f t="shared" si="2"/>
        <v>522</v>
      </c>
      <c r="L35" s="29">
        <f t="shared" si="3"/>
        <v>231</v>
      </c>
      <c r="M35" s="27">
        <f t="shared" si="1"/>
        <v>0.44252873563218392</v>
      </c>
      <c r="N35" s="27" t="str">
        <f>IF($F35="","",IFERROR($F35/'SETUP &amp; TARGETS'!$C7,0))</f>
        <v/>
      </c>
      <c r="O35" s="27" t="str">
        <f>IF(OR($C35&lt;&gt;"Y",COUNT($D35,$E35,$H35,$I35)=0),"",MAX(0,IFERROR(('SETUP &amp; TARGETS'!$C$10-N($I35))/'SETUP &amp; TARGETS'!$C$10,0)))</f>
        <v/>
      </c>
      <c r="P35" s="22" t="str">
        <f>IF($K35=0,"",IF($M35&gt;='SETUP &amp; TARGETS'!$C11,"GREEN",IF($M35&gt;='SETUP &amp; TARGETS'!$C13,"AMBER","RED")))</f>
        <v>RED</v>
      </c>
      <c r="Q35" s="57" t="str">
        <f>IFERROR(INDEX('DELAY CODE REGISTER'!$C$6:$C$49,MATCH(G35,'DELAY CODE REGISTER'!$B$6:$B$49,0)),"")</f>
        <v/>
      </c>
    </row>
    <row r="36" spans="2:17" ht="14.25" customHeight="1" x14ac:dyDescent="0.3">
      <c r="B36" s="53">
        <v>46295</v>
      </c>
      <c r="C36" s="54" t="s">
        <v>173</v>
      </c>
      <c r="D36" s="55"/>
      <c r="E36" s="55"/>
      <c r="F36" s="29" t="str">
        <f t="shared" si="0"/>
        <v/>
      </c>
      <c r="G36" s="55"/>
      <c r="H36" s="55"/>
      <c r="I36" s="55"/>
      <c r="J36" s="29">
        <f>IF($C36="Y",'SETUP &amp; TARGETS'!$C7,0)</f>
        <v>18</v>
      </c>
      <c r="K36" s="29">
        <f t="shared" si="2"/>
        <v>540</v>
      </c>
      <c r="L36" s="29">
        <f t="shared" si="3"/>
        <v>231</v>
      </c>
      <c r="M36" s="27">
        <f t="shared" si="1"/>
        <v>0.42777777777777776</v>
      </c>
      <c r="N36" s="27" t="str">
        <f>IF($F36="","",IFERROR($F36/'SETUP &amp; TARGETS'!$C7,0))</f>
        <v/>
      </c>
      <c r="O36" s="27" t="str">
        <f>IF(OR($C36&lt;&gt;"Y",COUNT($D36,$E36,$H36,$I36)=0),"",MAX(0,IFERROR(('SETUP &amp; TARGETS'!$C$10-N($I36))/'SETUP &amp; TARGETS'!$C$10,0)))</f>
        <v/>
      </c>
      <c r="P36" s="22" t="str">
        <f>IF($K36=0,"",IF($M36&gt;='SETUP &amp; TARGETS'!$C11,"GREEN",IF($M36&gt;='SETUP &amp; TARGETS'!$C13,"AMBER","RED")))</f>
        <v>RED</v>
      </c>
      <c r="Q36" s="57" t="str">
        <f>IFERROR(INDEX('DELAY CODE REGISTER'!$C$6:$C$49,MATCH(G36,'DELAY CODE REGISTER'!$B$6:$B$49,0)),"")</f>
        <v/>
      </c>
    </row>
    <row r="37" spans="2:17" ht="14.25" customHeight="1" x14ac:dyDescent="0.3">
      <c r="B37" s="53"/>
      <c r="C37" s="54" t="s">
        <v>173</v>
      </c>
      <c r="D37" s="55"/>
      <c r="E37" s="55"/>
      <c r="F37" s="29" t="str">
        <f t="shared" si="0"/>
        <v/>
      </c>
      <c r="G37" s="55"/>
      <c r="H37" s="55"/>
      <c r="I37" s="55"/>
      <c r="J37" s="29">
        <f>IF($C37="Y",'SETUP &amp; TARGETS'!$C7,0)</f>
        <v>18</v>
      </c>
      <c r="K37" s="29">
        <f t="shared" si="2"/>
        <v>558</v>
      </c>
      <c r="L37" s="29">
        <f t="shared" si="3"/>
        <v>231</v>
      </c>
      <c r="M37" s="27">
        <f t="shared" si="1"/>
        <v>0.41397849462365593</v>
      </c>
      <c r="N37" s="27" t="str">
        <f>IF($F37="","",IFERROR($F37/'SETUP &amp; TARGETS'!$C7,0))</f>
        <v/>
      </c>
      <c r="O37" s="27" t="str">
        <f>IF(OR($C37&lt;&gt;"Y",COUNT($D37,$E37,$H37,$I37)=0),"",MAX(0,IFERROR(('SETUP &amp; TARGETS'!$C$10-N($I37))/'SETUP &amp; TARGETS'!$C$10,0)))</f>
        <v/>
      </c>
      <c r="P37" s="22" t="str">
        <f>IF($K37=0,"",IF($M37&gt;='SETUP &amp; TARGETS'!$C11,"GREEN",IF($M37&gt;='SETUP &amp; TARGETS'!$C13,"AMBER","RED")))</f>
        <v>RED</v>
      </c>
      <c r="Q37" s="57" t="str">
        <f>IFERROR(INDEX('DELAY CODE REGISTER'!$C$6:$C$49,MATCH(G37,'DELAY CODE REGISTER'!$B$6:$B$49,0)),"")</f>
        <v/>
      </c>
    </row>
    <row r="38" spans="2:17" ht="14.25" customHeight="1" x14ac:dyDescent="0.3">
      <c r="B38" s="23" t="s">
        <v>177</v>
      </c>
      <c r="C38" s="23"/>
      <c r="D38" s="23"/>
      <c r="E38" s="23"/>
      <c r="F38" s="24">
        <f>SUM(F7:F37)</f>
        <v>231</v>
      </c>
      <c r="G38" s="23"/>
      <c r="H38" s="24">
        <f>SUM(H7:H37)</f>
        <v>35</v>
      </c>
      <c r="I38" s="24">
        <f>SUM(I7:I37)</f>
        <v>11</v>
      </c>
      <c r="J38" s="24">
        <f>SUM(J7:J37)</f>
        <v>558</v>
      </c>
      <c r="K38" s="24">
        <f>K37</f>
        <v>558</v>
      </c>
      <c r="L38" s="24">
        <f>L37</f>
        <v>231</v>
      </c>
      <c r="M38" s="26">
        <f>IFERROR(L38/K38,0)</f>
        <v>0.41397849462365593</v>
      </c>
      <c r="N38" s="26">
        <f>IFERROR(F38/'SETUP &amp; TARGETS'!$C9,0)</f>
        <v>0.41397849462365593</v>
      </c>
      <c r="O38" s="26">
        <f>IF(COUNT(O7:O37)=0,0,AVERAGE(O7:O37))</f>
        <v>0.95925925925925926</v>
      </c>
      <c r="P38" s="23"/>
      <c r="Q38" s="23"/>
    </row>
  </sheetData>
  <sheetProtection sheet="1" objects="1" scenarios="1"/>
  <conditionalFormatting sqref="P7:P37">
    <cfRule type="cellIs" dxfId="33" priority="2" operator="equal">
      <formula>"GREEN"</formula>
    </cfRule>
    <cfRule type="cellIs" dxfId="32" priority="3" operator="equal">
      <formula>"AMBER"</formula>
    </cfRule>
    <cfRule type="cellIs" dxfId="31" priority="4" operator="equal">
      <formula>"RED"</formula>
    </cfRule>
  </conditionalFormatting>
  <dataValidations count="2">
    <dataValidation type="list" allowBlank="1" sqref="C7:C37" xr:uid="{00000000-0002-0000-0700-000000000000}">
      <formula1>"Y,N"</formula1>
      <formula2>0</formula2>
    </dataValidation>
    <dataValidation type="custom" allowBlank="1" showInputMessage="1" showErrorMessage="1" sqref="E7:E37" xr:uid="{00000000-0002-0000-0700-000001000000}">
      <formula1>OR(E7="",E7&gt;=D7)</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700-000002000000}">
          <x14:formula1>
            <xm:f>'DELAY CODE REGISTER'!$B$6:$B$49</xm:f>
          </x14:formula1>
          <x14:formula2>
            <xm:f>0</xm:f>
          </x14:formula2>
          <xm:sqref>G7:G37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Q38"/>
  <sheetViews>
    <sheetView showGridLines="0" zoomScaleNormal="100" workbookViewId="0">
      <pane xSplit="1" ySplit="6" topLeftCell="B7" activePane="bottomRight" state="frozen"/>
      <selection pane="topRight" activeCell="B1" sqref="B1"/>
      <selection pane="bottomLeft" activeCell="A7" sqref="A7"/>
      <selection pane="bottomRight" activeCell="E25" sqref="E25"/>
    </sheetView>
  </sheetViews>
  <sheetFormatPr defaultColWidth="8.6640625" defaultRowHeight="14.4" x14ac:dyDescent="0.3"/>
  <cols>
    <col min="2" max="2" width="19.33203125" customWidth="1"/>
    <col min="3" max="3" width="11" customWidth="1"/>
    <col min="4" max="4" width="11.6640625" customWidth="1"/>
    <col min="5" max="5" width="12.44140625" customWidth="1"/>
    <col min="6" max="7" width="10" customWidth="1"/>
    <col min="8" max="8" width="12" customWidth="1"/>
    <col min="9" max="10" width="10" customWidth="1"/>
    <col min="11" max="13" width="9" customWidth="1"/>
    <col min="14" max="14" width="10" customWidth="1"/>
    <col min="15" max="16" width="9" customWidth="1"/>
    <col min="17" max="17" width="57.109375" customWidth="1"/>
    <col min="18" max="18" width="46" customWidth="1"/>
  </cols>
  <sheetData>
    <row r="2" spans="2:17" ht="18" customHeight="1" x14ac:dyDescent="0.35">
      <c r="B2" s="13" t="s">
        <v>192</v>
      </c>
    </row>
    <row r="3" spans="2:17" ht="14.25" customHeight="1" x14ac:dyDescent="0.3">
      <c r="B3" s="14" t="s">
        <v>193</v>
      </c>
    </row>
    <row r="4" spans="2:17" ht="14.25" customHeight="1" x14ac:dyDescent="0.3">
      <c r="B4" s="15" t="s">
        <v>194</v>
      </c>
    </row>
    <row r="6" spans="2:17" ht="39.75" customHeight="1" x14ac:dyDescent="0.3">
      <c r="B6" s="16" t="s">
        <v>159</v>
      </c>
      <c r="C6" s="16" t="s">
        <v>160</v>
      </c>
      <c r="D6" s="16" t="s">
        <v>161</v>
      </c>
      <c r="E6" s="16" t="s">
        <v>162</v>
      </c>
      <c r="F6" s="16" t="s">
        <v>163</v>
      </c>
      <c r="G6" s="16" t="s">
        <v>164</v>
      </c>
      <c r="H6" s="16" t="s">
        <v>165</v>
      </c>
      <c r="I6" s="16" t="s">
        <v>87</v>
      </c>
      <c r="J6" s="16" t="s">
        <v>166</v>
      </c>
      <c r="K6" s="16" t="s">
        <v>167</v>
      </c>
      <c r="L6" s="16" t="s">
        <v>168</v>
      </c>
      <c r="M6" s="16" t="s">
        <v>169</v>
      </c>
      <c r="N6" s="16" t="s">
        <v>170</v>
      </c>
      <c r="O6" s="16" t="s">
        <v>171</v>
      </c>
      <c r="P6" s="16" t="s">
        <v>95</v>
      </c>
      <c r="Q6" s="16" t="s">
        <v>172</v>
      </c>
    </row>
    <row r="7" spans="2:17" ht="14.25" customHeight="1" x14ac:dyDescent="0.3">
      <c r="B7" s="53">
        <v>46266</v>
      </c>
      <c r="C7" s="54" t="s">
        <v>173</v>
      </c>
      <c r="D7" s="55">
        <v>10212</v>
      </c>
      <c r="E7" s="55">
        <v>10212</v>
      </c>
      <c r="F7" s="29">
        <f t="shared" ref="F7:F37" si="0">IF(OR($E7="",$D7=""),"",MAX(0,$E7-$D7))</f>
        <v>0</v>
      </c>
      <c r="G7" s="55" t="s">
        <v>181</v>
      </c>
      <c r="H7" s="55">
        <v>18</v>
      </c>
      <c r="I7" s="55"/>
      <c r="J7" s="29">
        <f>IF($C7="Y",'SETUP &amp; TARGETS'!$C7,0)</f>
        <v>18</v>
      </c>
      <c r="K7" s="29">
        <f>0+$J7</f>
        <v>18</v>
      </c>
      <c r="L7" s="29">
        <f>0+N($F7)</f>
        <v>0</v>
      </c>
      <c r="M7" s="27">
        <f t="shared" ref="M7:M37" si="1">IFERROR($L7/$K7,0)</f>
        <v>0</v>
      </c>
      <c r="N7" s="27">
        <f>IF($F7="","",IFERROR($F7/'SETUP &amp; TARGETS'!$C7,0))</f>
        <v>0</v>
      </c>
      <c r="O7" s="27">
        <f>IF(OR($C7&lt;&gt;"Y",COUNT($D7,$E7,$H7,$I7)=0),"",MAX(0,IFERROR(('SETUP &amp; TARGETS'!$C$10-N($I7))/'SETUP &amp; TARGETS'!$C$10,0)))</f>
        <v>1</v>
      </c>
      <c r="P7" s="22" t="str">
        <f>IF($K7=0,"",IF($M7&gt;='SETUP &amp; TARGETS'!$C11,"GREEN",IF($M7&gt;='SETUP &amp; TARGETS'!$C13,"AMBER","RED")))</f>
        <v>RED</v>
      </c>
      <c r="Q7" s="57" t="str">
        <f>IFERROR(INDEX('DELAY CODE REGISTER'!$C$6:$C$49,MATCH(G7,'DELAY CODE REGISTER'!$B$6:$B$49,0)),"")</f>
        <v>Under Utilization</v>
      </c>
    </row>
    <row r="8" spans="2:17" ht="14.25" customHeight="1" x14ac:dyDescent="0.3">
      <c r="B8" s="53">
        <v>46267</v>
      </c>
      <c r="C8" s="54" t="s">
        <v>173</v>
      </c>
      <c r="D8" s="55">
        <v>10212</v>
      </c>
      <c r="E8" s="55">
        <v>10212</v>
      </c>
      <c r="F8" s="29">
        <f t="shared" si="0"/>
        <v>0</v>
      </c>
      <c r="G8" s="55" t="s">
        <v>181</v>
      </c>
      <c r="H8" s="55">
        <v>18</v>
      </c>
      <c r="I8" s="55"/>
      <c r="J8" s="29">
        <f>IF($C8="Y",'SETUP &amp; TARGETS'!$C7,0)</f>
        <v>18</v>
      </c>
      <c r="K8" s="29">
        <f t="shared" ref="K8:K37" si="2">$K7+$J8</f>
        <v>36</v>
      </c>
      <c r="L8" s="29">
        <f t="shared" ref="L8:L37" si="3">$L7+N($F8)</f>
        <v>0</v>
      </c>
      <c r="M8" s="27">
        <f t="shared" si="1"/>
        <v>0</v>
      </c>
      <c r="N8" s="27">
        <f>IF($F8="","",IFERROR($F8/'SETUP &amp; TARGETS'!$C7,0))</f>
        <v>0</v>
      </c>
      <c r="O8" s="27">
        <f>IF(OR($C8&lt;&gt;"Y",COUNT($D8,$E8,$H8,$I8)=0),"",MAX(0,IFERROR(('SETUP &amp; TARGETS'!$C$10-N($I8))/'SETUP &amp; TARGETS'!$C$10,0)))</f>
        <v>1</v>
      </c>
      <c r="P8" s="22" t="str">
        <f>IF($K8=0,"",IF($M8&gt;='SETUP &amp; TARGETS'!$C11,"GREEN",IF($M8&gt;='SETUP &amp; TARGETS'!$C13,"AMBER","RED")))</f>
        <v>RED</v>
      </c>
      <c r="Q8" s="57" t="str">
        <f>IFERROR(INDEX('DELAY CODE REGISTER'!$C$6:$C$49,MATCH(G8,'DELAY CODE REGISTER'!$B$6:$B$49,0)),"")</f>
        <v>Under Utilization</v>
      </c>
    </row>
    <row r="9" spans="2:17" ht="14.25" customHeight="1" x14ac:dyDescent="0.3">
      <c r="B9" s="53">
        <v>46268</v>
      </c>
      <c r="C9" s="54" t="s">
        <v>173</v>
      </c>
      <c r="D9" s="55">
        <v>10212</v>
      </c>
      <c r="E9" s="55">
        <v>10212</v>
      </c>
      <c r="F9" s="29">
        <f t="shared" si="0"/>
        <v>0</v>
      </c>
      <c r="G9" s="55" t="s">
        <v>181</v>
      </c>
      <c r="H9" s="55">
        <v>18</v>
      </c>
      <c r="I9" s="55"/>
      <c r="J9" s="29">
        <f>IF($C9="Y",'SETUP &amp; TARGETS'!$C7,0)</f>
        <v>18</v>
      </c>
      <c r="K9" s="29">
        <f t="shared" si="2"/>
        <v>54</v>
      </c>
      <c r="L9" s="29">
        <f t="shared" si="3"/>
        <v>0</v>
      </c>
      <c r="M9" s="27">
        <f t="shared" si="1"/>
        <v>0</v>
      </c>
      <c r="N9" s="27">
        <f>IF($F9="","",IFERROR($F9/'SETUP &amp; TARGETS'!$C7,0))</f>
        <v>0</v>
      </c>
      <c r="O9" s="27">
        <f>IF(OR($C9&lt;&gt;"Y",COUNT($D9,$E9,$H9,$I9)=0),"",MAX(0,IFERROR(('SETUP &amp; TARGETS'!$C$10-N($I9))/'SETUP &amp; TARGETS'!$C$10,0)))</f>
        <v>1</v>
      </c>
      <c r="P9" s="22" t="str">
        <f>IF($K9=0,"",IF($M9&gt;='SETUP &amp; TARGETS'!$C11,"GREEN",IF($M9&gt;='SETUP &amp; TARGETS'!$C13,"AMBER","RED")))</f>
        <v>RED</v>
      </c>
      <c r="Q9" s="57" t="str">
        <f>IFERROR(INDEX('DELAY CODE REGISTER'!$C$6:$C$49,MATCH(G9,'DELAY CODE REGISTER'!$B$6:$B$49,0)),"")</f>
        <v>Under Utilization</v>
      </c>
    </row>
    <row r="10" spans="2:17" ht="14.25" customHeight="1" x14ac:dyDescent="0.3">
      <c r="B10" s="53">
        <v>46269</v>
      </c>
      <c r="C10" s="54" t="s">
        <v>173</v>
      </c>
      <c r="D10" s="55">
        <v>10212</v>
      </c>
      <c r="E10" s="55">
        <v>10218</v>
      </c>
      <c r="F10" s="29">
        <f t="shared" si="0"/>
        <v>6</v>
      </c>
      <c r="G10" s="55" t="s">
        <v>181</v>
      </c>
      <c r="H10" s="55">
        <v>12</v>
      </c>
      <c r="I10" s="55"/>
      <c r="J10" s="29">
        <f>IF($C10="Y",'SETUP &amp; TARGETS'!$C7,0)</f>
        <v>18</v>
      </c>
      <c r="K10" s="29">
        <f t="shared" si="2"/>
        <v>72</v>
      </c>
      <c r="L10" s="29">
        <f t="shared" si="3"/>
        <v>6</v>
      </c>
      <c r="M10" s="27">
        <f t="shared" si="1"/>
        <v>8.3333333333333329E-2</v>
      </c>
      <c r="N10" s="27">
        <f>IF($F10="","",IFERROR($F10/'SETUP &amp; TARGETS'!$C7,0))</f>
        <v>0.33333333333333331</v>
      </c>
      <c r="O10" s="27">
        <f>IF(OR($C10&lt;&gt;"Y",COUNT($D10,$E10,$H10,$I10)=0),"",MAX(0,IFERROR(('SETUP &amp; TARGETS'!$C$10-N($I10))/'SETUP &amp; TARGETS'!$C$10,0)))</f>
        <v>1</v>
      </c>
      <c r="P10" s="22" t="str">
        <f>IF($K10=0,"",IF($M10&gt;='SETUP &amp; TARGETS'!$C11,"GREEN",IF($M10&gt;='SETUP &amp; TARGETS'!$C13,"AMBER","RED")))</f>
        <v>RED</v>
      </c>
      <c r="Q10" s="57" t="str">
        <f>IFERROR(INDEX('DELAY CODE REGISTER'!$C$6:$C$49,MATCH(G10,'DELAY CODE REGISTER'!$B$6:$B$49,0)),"")</f>
        <v>Under Utilization</v>
      </c>
    </row>
    <row r="11" spans="2:17" ht="14.25" customHeight="1" x14ac:dyDescent="0.3">
      <c r="B11" s="53">
        <v>46270</v>
      </c>
      <c r="C11" s="54" t="s">
        <v>173</v>
      </c>
      <c r="D11" s="55">
        <v>10218</v>
      </c>
      <c r="E11" s="55">
        <v>10239</v>
      </c>
      <c r="F11" s="29">
        <f t="shared" si="0"/>
        <v>21</v>
      </c>
      <c r="G11" s="55"/>
      <c r="H11" s="55">
        <v>-3</v>
      </c>
      <c r="I11" s="55"/>
      <c r="J11" s="29">
        <f>IF($C11="Y",'SETUP &amp; TARGETS'!$C7,0)</f>
        <v>18</v>
      </c>
      <c r="K11" s="29">
        <f t="shared" si="2"/>
        <v>90</v>
      </c>
      <c r="L11" s="29">
        <f t="shared" si="3"/>
        <v>27</v>
      </c>
      <c r="M11" s="27">
        <f t="shared" si="1"/>
        <v>0.3</v>
      </c>
      <c r="N11" s="27">
        <f>IF($F11="","",IFERROR($F11/'SETUP &amp; TARGETS'!$C7,0))</f>
        <v>1.1666666666666667</v>
      </c>
      <c r="O11" s="27">
        <f>IF(OR($C11&lt;&gt;"Y",COUNT($D11,$E11,$H11,$I11)=0),"",MAX(0,IFERROR(('SETUP &amp; TARGETS'!$C$10-N($I11))/'SETUP &amp; TARGETS'!$C$10,0)))</f>
        <v>1</v>
      </c>
      <c r="P11" s="22" t="str">
        <f>IF($K11=0,"",IF($M11&gt;='SETUP &amp; TARGETS'!$C11,"GREEN",IF($M11&gt;='SETUP &amp; TARGETS'!$C13,"AMBER","RED")))</f>
        <v>RED</v>
      </c>
      <c r="Q11" s="57" t="str">
        <f>IFERROR(INDEX('DELAY CODE REGISTER'!$C$6:$C$49,MATCH(G11,'DELAY CODE REGISTER'!$B$6:$B$49,0)),"")</f>
        <v/>
      </c>
    </row>
    <row r="12" spans="2:17" ht="14.25" customHeight="1" x14ac:dyDescent="0.3">
      <c r="B12" s="53">
        <v>46271</v>
      </c>
      <c r="C12" s="54" t="s">
        <v>173</v>
      </c>
      <c r="D12" s="55">
        <v>10239</v>
      </c>
      <c r="E12" s="55">
        <v>10239</v>
      </c>
      <c r="F12" s="29">
        <f t="shared" si="0"/>
        <v>0</v>
      </c>
      <c r="G12" s="55" t="s">
        <v>181</v>
      </c>
      <c r="H12" s="55">
        <v>18</v>
      </c>
      <c r="I12" s="55"/>
      <c r="J12" s="29">
        <f>IF($C12="Y",'SETUP &amp; TARGETS'!$C7,0)</f>
        <v>18</v>
      </c>
      <c r="K12" s="29">
        <f t="shared" si="2"/>
        <v>108</v>
      </c>
      <c r="L12" s="29">
        <f t="shared" si="3"/>
        <v>27</v>
      </c>
      <c r="M12" s="27">
        <f t="shared" si="1"/>
        <v>0.25</v>
      </c>
      <c r="N12" s="27">
        <f>IF($F12="","",IFERROR($F12/'SETUP &amp; TARGETS'!$C7,0))</f>
        <v>0</v>
      </c>
      <c r="O12" s="27">
        <f>IF(OR($C12&lt;&gt;"Y",COUNT($D12,$E12,$H12,$I12)=0),"",MAX(0,IFERROR(('SETUP &amp; TARGETS'!$C$10-N($I12))/'SETUP &amp; TARGETS'!$C$10,0)))</f>
        <v>1</v>
      </c>
      <c r="P12" s="22" t="str">
        <f>IF($K12=0,"",IF($M12&gt;='SETUP &amp; TARGETS'!$C11,"GREEN",IF($M12&gt;='SETUP &amp; TARGETS'!$C13,"AMBER","RED")))</f>
        <v>RED</v>
      </c>
      <c r="Q12" s="57" t="str">
        <f>IFERROR(INDEX('DELAY CODE REGISTER'!$C$6:$C$49,MATCH(G12,'DELAY CODE REGISTER'!$B$6:$B$49,0)),"")</f>
        <v>Under Utilization</v>
      </c>
    </row>
    <row r="13" spans="2:17" ht="14.25" customHeight="1" x14ac:dyDescent="0.3">
      <c r="B13" s="53">
        <v>46272</v>
      </c>
      <c r="C13" s="54" t="s">
        <v>173</v>
      </c>
      <c r="D13" s="55">
        <v>10239</v>
      </c>
      <c r="E13" s="55">
        <v>10244</v>
      </c>
      <c r="F13" s="29">
        <f t="shared" si="0"/>
        <v>5</v>
      </c>
      <c r="G13" s="55" t="s">
        <v>181</v>
      </c>
      <c r="H13" s="55">
        <v>13</v>
      </c>
      <c r="I13" s="55"/>
      <c r="J13" s="29">
        <f>IF($C13="Y",'SETUP &amp; TARGETS'!$C7,0)</f>
        <v>18</v>
      </c>
      <c r="K13" s="29">
        <f t="shared" si="2"/>
        <v>126</v>
      </c>
      <c r="L13" s="29">
        <f t="shared" si="3"/>
        <v>32</v>
      </c>
      <c r="M13" s="27">
        <f t="shared" si="1"/>
        <v>0.25396825396825395</v>
      </c>
      <c r="N13" s="27">
        <f>IF($F13="","",IFERROR($F13/'SETUP &amp; TARGETS'!$C7,0))</f>
        <v>0.27777777777777779</v>
      </c>
      <c r="O13" s="27">
        <f>IF(OR($C13&lt;&gt;"Y",COUNT($D13,$E13,$H13,$I13)=0),"",MAX(0,IFERROR(('SETUP &amp; TARGETS'!$C$10-N($I13))/'SETUP &amp; TARGETS'!$C$10,0)))</f>
        <v>1</v>
      </c>
      <c r="P13" s="22" t="str">
        <f>IF($K13=0,"",IF($M13&gt;='SETUP &amp; TARGETS'!$C11,"GREEN",IF($M13&gt;='SETUP &amp; TARGETS'!$C13,"AMBER","RED")))</f>
        <v>RED</v>
      </c>
      <c r="Q13" s="57" t="str">
        <f>IFERROR(INDEX('DELAY CODE REGISTER'!$C$6:$C$49,MATCH(G13,'DELAY CODE REGISTER'!$B$6:$B$49,0)),"")</f>
        <v>Under Utilization</v>
      </c>
    </row>
    <row r="14" spans="2:17" ht="14.25" customHeight="1" x14ac:dyDescent="0.3">
      <c r="B14" s="53">
        <v>46273</v>
      </c>
      <c r="C14" s="54" t="s">
        <v>173</v>
      </c>
      <c r="D14" s="55">
        <v>10244</v>
      </c>
      <c r="E14" s="55">
        <v>10256</v>
      </c>
      <c r="F14" s="29">
        <f t="shared" si="0"/>
        <v>12</v>
      </c>
      <c r="G14" s="55" t="s">
        <v>181</v>
      </c>
      <c r="H14" s="55">
        <v>6</v>
      </c>
      <c r="I14" s="55"/>
      <c r="J14" s="29">
        <f>IF($C14="Y",'SETUP &amp; TARGETS'!$C7,0)</f>
        <v>18</v>
      </c>
      <c r="K14" s="29">
        <f t="shared" si="2"/>
        <v>144</v>
      </c>
      <c r="L14" s="29">
        <f t="shared" si="3"/>
        <v>44</v>
      </c>
      <c r="M14" s="27">
        <f t="shared" si="1"/>
        <v>0.30555555555555558</v>
      </c>
      <c r="N14" s="27">
        <f>IF($F14="","",IFERROR($F14/'SETUP &amp; TARGETS'!$C7,0))</f>
        <v>0.66666666666666663</v>
      </c>
      <c r="O14" s="27">
        <f>IF(OR($C14&lt;&gt;"Y",COUNT($D14,$E14,$H14,$I14)=0),"",MAX(0,IFERROR(('SETUP &amp; TARGETS'!$C$10-N($I14))/'SETUP &amp; TARGETS'!$C$10,0)))</f>
        <v>1</v>
      </c>
      <c r="P14" s="22" t="str">
        <f>IF($K14=0,"",IF($M14&gt;='SETUP &amp; TARGETS'!$C11,"GREEN",IF($M14&gt;='SETUP &amp; TARGETS'!$C13,"AMBER","RED")))</f>
        <v>RED</v>
      </c>
      <c r="Q14" s="57" t="str">
        <f>IFERROR(INDEX('DELAY CODE REGISTER'!$C$6:$C$49,MATCH(G14,'DELAY CODE REGISTER'!$B$6:$B$49,0)),"")</f>
        <v>Under Utilization</v>
      </c>
    </row>
    <row r="15" spans="2:17" ht="14.25" customHeight="1" x14ac:dyDescent="0.3">
      <c r="B15" s="53">
        <v>46274</v>
      </c>
      <c r="C15" s="54" t="s">
        <v>173</v>
      </c>
      <c r="D15" s="55">
        <v>10256</v>
      </c>
      <c r="E15" s="55">
        <v>10273</v>
      </c>
      <c r="F15" s="29">
        <f t="shared" si="0"/>
        <v>17</v>
      </c>
      <c r="G15" s="55" t="s">
        <v>181</v>
      </c>
      <c r="H15" s="55">
        <v>1</v>
      </c>
      <c r="I15" s="55"/>
      <c r="J15" s="29">
        <f>IF($C15="Y",'SETUP &amp; TARGETS'!$C7,0)</f>
        <v>18</v>
      </c>
      <c r="K15" s="29">
        <f t="shared" si="2"/>
        <v>162</v>
      </c>
      <c r="L15" s="29">
        <f t="shared" si="3"/>
        <v>61</v>
      </c>
      <c r="M15" s="27">
        <f t="shared" si="1"/>
        <v>0.37654320987654322</v>
      </c>
      <c r="N15" s="27">
        <f>IF($F15="","",IFERROR($F15/'SETUP &amp; TARGETS'!$C7,0))</f>
        <v>0.94444444444444442</v>
      </c>
      <c r="O15" s="27">
        <f>IF(OR($C15&lt;&gt;"Y",COUNT($D15,$E15,$H15,$I15)=0),"",MAX(0,IFERROR(('SETUP &amp; TARGETS'!$C$10-N($I15))/'SETUP &amp; TARGETS'!$C$10,0)))</f>
        <v>1</v>
      </c>
      <c r="P15" s="22" t="str">
        <f>IF($K15=0,"",IF($M15&gt;='SETUP &amp; TARGETS'!$C11,"GREEN",IF($M15&gt;='SETUP &amp; TARGETS'!$C13,"AMBER","RED")))</f>
        <v>RED</v>
      </c>
      <c r="Q15" s="57" t="str">
        <f>IFERROR(INDEX('DELAY CODE REGISTER'!$C$6:$C$49,MATCH(G15,'DELAY CODE REGISTER'!$B$6:$B$49,0)),"")</f>
        <v>Under Utilization</v>
      </c>
    </row>
    <row r="16" spans="2:17" ht="14.25" customHeight="1" x14ac:dyDescent="0.3">
      <c r="B16" s="53">
        <v>46275</v>
      </c>
      <c r="C16" s="54" t="s">
        <v>173</v>
      </c>
      <c r="D16" s="55">
        <v>10273</v>
      </c>
      <c r="E16" s="55">
        <v>10277</v>
      </c>
      <c r="F16" s="29">
        <f t="shared" si="0"/>
        <v>4</v>
      </c>
      <c r="G16" s="55" t="s">
        <v>181</v>
      </c>
      <c r="H16" s="55">
        <v>14</v>
      </c>
      <c r="I16" s="55"/>
      <c r="J16" s="29">
        <f>IF($C16="Y",'SETUP &amp; TARGETS'!$C7,0)</f>
        <v>18</v>
      </c>
      <c r="K16" s="29">
        <f t="shared" si="2"/>
        <v>180</v>
      </c>
      <c r="L16" s="29">
        <f t="shared" si="3"/>
        <v>65</v>
      </c>
      <c r="M16" s="27">
        <f t="shared" si="1"/>
        <v>0.3611111111111111</v>
      </c>
      <c r="N16" s="27">
        <f>IF($F16="","",IFERROR($F16/'SETUP &amp; TARGETS'!$C7,0))</f>
        <v>0.22222222222222221</v>
      </c>
      <c r="O16" s="27">
        <f>IF(OR($C16&lt;&gt;"Y",COUNT($D16,$E16,$H16,$I16)=0),"",MAX(0,IFERROR(('SETUP &amp; TARGETS'!$C$10-N($I16))/'SETUP &amp; TARGETS'!$C$10,0)))</f>
        <v>1</v>
      </c>
      <c r="P16" s="22" t="str">
        <f>IF($K16=0,"",IF($M16&gt;='SETUP &amp; TARGETS'!$C11,"GREEN",IF($M16&gt;='SETUP &amp; TARGETS'!$C13,"AMBER","RED")))</f>
        <v>RED</v>
      </c>
      <c r="Q16" s="57" t="str">
        <f>IFERROR(INDEX('DELAY CODE REGISTER'!$C$6:$C$49,MATCH(G16,'DELAY CODE REGISTER'!$B$6:$B$49,0)),"")</f>
        <v>Under Utilization</v>
      </c>
    </row>
    <row r="17" spans="2:17" ht="14.25" customHeight="1" x14ac:dyDescent="0.3">
      <c r="B17" s="53">
        <v>46276</v>
      </c>
      <c r="C17" s="54" t="s">
        <v>173</v>
      </c>
      <c r="D17" s="55">
        <v>10277</v>
      </c>
      <c r="E17" s="55">
        <v>10297</v>
      </c>
      <c r="F17" s="29">
        <f t="shared" si="0"/>
        <v>20</v>
      </c>
      <c r="G17" s="55"/>
      <c r="H17" s="55"/>
      <c r="I17" s="55"/>
      <c r="J17" s="29">
        <f>IF($C17="Y",'SETUP &amp; TARGETS'!$C7,0)</f>
        <v>18</v>
      </c>
      <c r="K17" s="29">
        <f t="shared" si="2"/>
        <v>198</v>
      </c>
      <c r="L17" s="29">
        <f t="shared" si="3"/>
        <v>85</v>
      </c>
      <c r="M17" s="27">
        <f t="shared" si="1"/>
        <v>0.42929292929292928</v>
      </c>
      <c r="N17" s="27">
        <f>IF($F17="","",IFERROR($F17/'SETUP &amp; TARGETS'!$C7,0))</f>
        <v>1.1111111111111112</v>
      </c>
      <c r="O17" s="27">
        <f>IF(OR($C17&lt;&gt;"Y",COUNT($D17,$E17,$H17,$I17)=0),"",MAX(0,IFERROR(('SETUP &amp; TARGETS'!$C$10-N($I17))/'SETUP &amp; TARGETS'!$C$10,0)))</f>
        <v>1</v>
      </c>
      <c r="P17" s="22" t="str">
        <f>IF($K17=0,"",IF($M17&gt;='SETUP &amp; TARGETS'!$C11,"GREEN",IF($M17&gt;='SETUP &amp; TARGETS'!$C13,"AMBER","RED")))</f>
        <v>RED</v>
      </c>
      <c r="Q17" s="57" t="str">
        <f>IFERROR(INDEX('DELAY CODE REGISTER'!$C$6:$C$49,MATCH(G17,'DELAY CODE REGISTER'!$B$6:$B$49,0)),"")</f>
        <v/>
      </c>
    </row>
    <row r="18" spans="2:17" ht="14.25" customHeight="1" x14ac:dyDescent="0.3">
      <c r="B18" s="53">
        <v>46277</v>
      </c>
      <c r="C18" s="54" t="s">
        <v>173</v>
      </c>
      <c r="D18" s="55">
        <v>10297</v>
      </c>
      <c r="E18" s="55">
        <v>10298</v>
      </c>
      <c r="F18" s="29">
        <f t="shared" si="0"/>
        <v>1</v>
      </c>
      <c r="G18" s="55" t="s">
        <v>181</v>
      </c>
      <c r="H18" s="55">
        <v>17</v>
      </c>
      <c r="I18" s="55"/>
      <c r="J18" s="29">
        <f>IF($C18="Y",'SETUP &amp; TARGETS'!$C7,0)</f>
        <v>18</v>
      </c>
      <c r="K18" s="29">
        <f t="shared" si="2"/>
        <v>216</v>
      </c>
      <c r="L18" s="29">
        <f t="shared" si="3"/>
        <v>86</v>
      </c>
      <c r="M18" s="27">
        <f t="shared" si="1"/>
        <v>0.39814814814814814</v>
      </c>
      <c r="N18" s="27">
        <f>IF($F18="","",IFERROR($F18/'SETUP &amp; TARGETS'!$C7,0))</f>
        <v>5.5555555555555552E-2</v>
      </c>
      <c r="O18" s="27">
        <f>IF(OR($C18&lt;&gt;"Y",COUNT($D18,$E18,$H18,$I18)=0),"",MAX(0,IFERROR(('SETUP &amp; TARGETS'!$C$10-N($I18))/'SETUP &amp; TARGETS'!$C$10,0)))</f>
        <v>1</v>
      </c>
      <c r="P18" s="22" t="str">
        <f>IF($K18=0,"",IF($M18&gt;='SETUP &amp; TARGETS'!$C11,"GREEN",IF($M18&gt;='SETUP &amp; TARGETS'!$C13,"AMBER","RED")))</f>
        <v>RED</v>
      </c>
      <c r="Q18" s="57" t="str">
        <f>IFERROR(INDEX('DELAY CODE REGISTER'!$C$6:$C$49,MATCH(G18,'DELAY CODE REGISTER'!$B$6:$B$49,0)),"")</f>
        <v>Under Utilization</v>
      </c>
    </row>
    <row r="19" spans="2:17" ht="14.25" customHeight="1" x14ac:dyDescent="0.3">
      <c r="B19" s="53">
        <v>46278</v>
      </c>
      <c r="C19" s="54" t="s">
        <v>173</v>
      </c>
      <c r="D19" s="55">
        <v>10298</v>
      </c>
      <c r="E19" s="55">
        <v>10316</v>
      </c>
      <c r="F19" s="29">
        <f t="shared" si="0"/>
        <v>18</v>
      </c>
      <c r="G19" s="55"/>
      <c r="H19" s="55"/>
      <c r="I19" s="55"/>
      <c r="J19" s="29">
        <f>IF($C19="Y",'SETUP &amp; TARGETS'!$C7,0)</f>
        <v>18</v>
      </c>
      <c r="K19" s="29">
        <f t="shared" si="2"/>
        <v>234</v>
      </c>
      <c r="L19" s="29">
        <f t="shared" si="3"/>
        <v>104</v>
      </c>
      <c r="M19" s="27">
        <f t="shared" si="1"/>
        <v>0.44444444444444442</v>
      </c>
      <c r="N19" s="27">
        <f>IF($F19="","",IFERROR($F19/'SETUP &amp; TARGETS'!$C7,0))</f>
        <v>1</v>
      </c>
      <c r="O19" s="27">
        <f>IF(OR($C19&lt;&gt;"Y",COUNT($D19,$E19,$H19,$I19)=0),"",MAX(0,IFERROR(('SETUP &amp; TARGETS'!$C$10-N($I19))/'SETUP &amp; TARGETS'!$C$10,0)))</f>
        <v>1</v>
      </c>
      <c r="P19" s="22" t="str">
        <f>IF($K19=0,"",IF($M19&gt;='SETUP &amp; TARGETS'!$C11,"GREEN",IF($M19&gt;='SETUP &amp; TARGETS'!$C13,"AMBER","RED")))</f>
        <v>RED</v>
      </c>
      <c r="Q19" s="57" t="str">
        <f>IFERROR(INDEX('DELAY CODE REGISTER'!$C$6:$C$49,MATCH(G19,'DELAY CODE REGISTER'!$B$6:$B$49,0)),"")</f>
        <v/>
      </c>
    </row>
    <row r="20" spans="2:17" ht="14.25" customHeight="1" x14ac:dyDescent="0.3">
      <c r="B20" s="53">
        <v>46279</v>
      </c>
      <c r="C20" s="54" t="s">
        <v>173</v>
      </c>
      <c r="D20" s="55">
        <v>10316</v>
      </c>
      <c r="E20" s="55">
        <v>10328</v>
      </c>
      <c r="F20" s="29">
        <f t="shared" si="0"/>
        <v>12</v>
      </c>
      <c r="G20" s="55" t="s">
        <v>181</v>
      </c>
      <c r="H20" s="55"/>
      <c r="I20" s="55"/>
      <c r="J20" s="29">
        <f>IF($C20="Y",'SETUP &amp; TARGETS'!$C7,0)</f>
        <v>18</v>
      </c>
      <c r="K20" s="29">
        <f t="shared" si="2"/>
        <v>252</v>
      </c>
      <c r="L20" s="29">
        <f t="shared" si="3"/>
        <v>116</v>
      </c>
      <c r="M20" s="27">
        <f t="shared" si="1"/>
        <v>0.46031746031746029</v>
      </c>
      <c r="N20" s="27">
        <f>IF($F20="","",IFERROR($F20/'SETUP &amp; TARGETS'!$C7,0))</f>
        <v>0.66666666666666663</v>
      </c>
      <c r="O20" s="27">
        <f>IF(OR($C20&lt;&gt;"Y",COUNT($D20,$E20,$H20,$I20)=0),"",MAX(0,IFERROR(('SETUP &amp; TARGETS'!$C$10-N($I20))/'SETUP &amp; TARGETS'!$C$10,0)))</f>
        <v>1</v>
      </c>
      <c r="P20" s="22" t="str">
        <f>IF($K20=0,"",IF($M20&gt;='SETUP &amp; TARGETS'!$C11,"GREEN",IF($M20&gt;='SETUP &amp; TARGETS'!$C13,"AMBER","RED")))</f>
        <v>RED</v>
      </c>
      <c r="Q20" s="57" t="str">
        <f>IFERROR(INDEX('DELAY CODE REGISTER'!$C$6:$C$49,MATCH(G20,'DELAY CODE REGISTER'!$B$6:$B$49,0)),"")</f>
        <v>Under Utilization</v>
      </c>
    </row>
    <row r="21" spans="2:17" ht="14.25" customHeight="1" x14ac:dyDescent="0.3">
      <c r="B21" s="53">
        <v>46280</v>
      </c>
      <c r="C21" s="54" t="s">
        <v>173</v>
      </c>
      <c r="D21" s="55">
        <v>10328</v>
      </c>
      <c r="E21" s="55">
        <v>10335</v>
      </c>
      <c r="F21" s="29">
        <f t="shared" si="0"/>
        <v>7</v>
      </c>
      <c r="G21" s="55" t="s">
        <v>181</v>
      </c>
      <c r="H21" s="55">
        <v>11</v>
      </c>
      <c r="I21" s="55"/>
      <c r="J21" s="29">
        <f>IF($C21="Y",'SETUP &amp; TARGETS'!$C7,0)</f>
        <v>18</v>
      </c>
      <c r="K21" s="29">
        <f t="shared" si="2"/>
        <v>270</v>
      </c>
      <c r="L21" s="29">
        <f t="shared" si="3"/>
        <v>123</v>
      </c>
      <c r="M21" s="27">
        <f t="shared" si="1"/>
        <v>0.45555555555555555</v>
      </c>
      <c r="N21" s="27">
        <f>IF($F21="","",IFERROR($F21/'SETUP &amp; TARGETS'!$C7,0))</f>
        <v>0.3888888888888889</v>
      </c>
      <c r="O21" s="27">
        <f>IF(OR($C21&lt;&gt;"Y",COUNT($D21,$E21,$H21,$I21)=0),"",MAX(0,IFERROR(('SETUP &amp; TARGETS'!$C$10-N($I21))/'SETUP &amp; TARGETS'!$C$10,0)))</f>
        <v>1</v>
      </c>
      <c r="P21" s="22" t="str">
        <f>IF($K21=0,"",IF($M21&gt;='SETUP &amp; TARGETS'!$C11,"GREEN",IF($M21&gt;='SETUP &amp; TARGETS'!$C13,"AMBER","RED")))</f>
        <v>RED</v>
      </c>
      <c r="Q21" s="57" t="str">
        <f>IFERROR(INDEX('DELAY CODE REGISTER'!$C$6:$C$49,MATCH(G21,'DELAY CODE REGISTER'!$B$6:$B$49,0)),"")</f>
        <v>Under Utilization</v>
      </c>
    </row>
    <row r="22" spans="2:17" ht="14.25" customHeight="1" x14ac:dyDescent="0.3">
      <c r="B22" s="53">
        <v>46281</v>
      </c>
      <c r="C22" s="54" t="s">
        <v>173</v>
      </c>
      <c r="D22" s="55"/>
      <c r="E22" s="55"/>
      <c r="F22" s="29" t="str">
        <f t="shared" si="0"/>
        <v/>
      </c>
      <c r="G22" s="55"/>
      <c r="H22" s="55"/>
      <c r="I22" s="55"/>
      <c r="J22" s="29">
        <f>IF($C22="Y",'SETUP &amp; TARGETS'!$C7,0)</f>
        <v>18</v>
      </c>
      <c r="K22" s="29">
        <f t="shared" si="2"/>
        <v>288</v>
      </c>
      <c r="L22" s="29">
        <f t="shared" si="3"/>
        <v>123</v>
      </c>
      <c r="M22" s="27">
        <f t="shared" si="1"/>
        <v>0.42708333333333331</v>
      </c>
      <c r="N22" s="27" t="str">
        <f>IF($F22="","",IFERROR($F22/'SETUP &amp; TARGETS'!$C7,0))</f>
        <v/>
      </c>
      <c r="O22" s="27" t="str">
        <f>IF(OR($C22&lt;&gt;"Y",COUNT($D22,$E22,$H22,$I22)=0),"",MAX(0,IFERROR(('SETUP &amp; TARGETS'!$C$10-N($I22))/'SETUP &amp; TARGETS'!$C$10,0)))</f>
        <v/>
      </c>
      <c r="P22" s="22" t="str">
        <f>IF($K22=0,"",IF($M22&gt;='SETUP &amp; TARGETS'!$C11,"GREEN",IF($M22&gt;='SETUP &amp; TARGETS'!$C13,"AMBER","RED")))</f>
        <v>RED</v>
      </c>
      <c r="Q22" s="57" t="str">
        <f>IFERROR(INDEX('DELAY CODE REGISTER'!$C$6:$C$49,MATCH(G22,'DELAY CODE REGISTER'!$B$6:$B$49,0)),"")</f>
        <v/>
      </c>
    </row>
    <row r="23" spans="2:17" ht="14.25" customHeight="1" x14ac:dyDescent="0.3">
      <c r="B23" s="53">
        <v>46282</v>
      </c>
      <c r="C23" s="54" t="s">
        <v>173</v>
      </c>
      <c r="D23" s="55"/>
      <c r="E23" s="55"/>
      <c r="F23" s="29" t="str">
        <f t="shared" si="0"/>
        <v/>
      </c>
      <c r="G23" s="55"/>
      <c r="H23" s="55"/>
      <c r="I23" s="55"/>
      <c r="J23" s="29">
        <f>IF($C23="Y",'SETUP &amp; TARGETS'!$C7,0)</f>
        <v>18</v>
      </c>
      <c r="K23" s="29">
        <f t="shared" si="2"/>
        <v>306</v>
      </c>
      <c r="L23" s="29">
        <f t="shared" si="3"/>
        <v>123</v>
      </c>
      <c r="M23" s="27">
        <f t="shared" si="1"/>
        <v>0.40196078431372551</v>
      </c>
      <c r="N23" s="27" t="str">
        <f>IF($F23="","",IFERROR($F23/'SETUP &amp; TARGETS'!$C7,0))</f>
        <v/>
      </c>
      <c r="O23" s="27" t="str">
        <f>IF(OR($C23&lt;&gt;"Y",COUNT($D23,$E23,$H23,$I23)=0),"",MAX(0,IFERROR(('SETUP &amp; TARGETS'!$C$10-N($I23))/'SETUP &amp; TARGETS'!$C$10,0)))</f>
        <v/>
      </c>
      <c r="P23" s="22" t="str">
        <f>IF($K23=0,"",IF($M23&gt;='SETUP &amp; TARGETS'!$C11,"GREEN",IF($M23&gt;='SETUP &amp; TARGETS'!$C13,"AMBER","RED")))</f>
        <v>RED</v>
      </c>
      <c r="Q23" s="57" t="str">
        <f>IFERROR(INDEX('DELAY CODE REGISTER'!$C$6:$C$49,MATCH(G23,'DELAY CODE REGISTER'!$B$6:$B$49,0)),"")</f>
        <v/>
      </c>
    </row>
    <row r="24" spans="2:17" ht="14.25" customHeight="1" x14ac:dyDescent="0.3">
      <c r="B24" s="53">
        <v>46283</v>
      </c>
      <c r="C24" s="54" t="s">
        <v>173</v>
      </c>
      <c r="D24" s="55"/>
      <c r="E24" s="55"/>
      <c r="F24" s="29" t="str">
        <f t="shared" si="0"/>
        <v/>
      </c>
      <c r="G24" s="55"/>
      <c r="H24" s="55"/>
      <c r="I24" s="55"/>
      <c r="J24" s="29">
        <f>IF($C24="Y",'SETUP &amp; TARGETS'!$C7,0)</f>
        <v>18</v>
      </c>
      <c r="K24" s="29">
        <f t="shared" si="2"/>
        <v>324</v>
      </c>
      <c r="L24" s="29">
        <f t="shared" si="3"/>
        <v>123</v>
      </c>
      <c r="M24" s="27">
        <f t="shared" si="1"/>
        <v>0.37962962962962965</v>
      </c>
      <c r="N24" s="27" t="str">
        <f>IF($F24="","",IFERROR($F24/'SETUP &amp; TARGETS'!$C7,0))</f>
        <v/>
      </c>
      <c r="O24" s="27" t="str">
        <f>IF(OR($C24&lt;&gt;"Y",COUNT($D24,$E24,$H24,$I24)=0),"",MAX(0,IFERROR(('SETUP &amp; TARGETS'!$C$10-N($I24))/'SETUP &amp; TARGETS'!$C$10,0)))</f>
        <v/>
      </c>
      <c r="P24" s="22" t="str">
        <f>IF($K24=0,"",IF($M24&gt;='SETUP &amp; TARGETS'!$C11,"GREEN",IF($M24&gt;='SETUP &amp; TARGETS'!$C13,"AMBER","RED")))</f>
        <v>RED</v>
      </c>
      <c r="Q24" s="57" t="str">
        <f>IFERROR(INDEX('DELAY CODE REGISTER'!$C$6:$C$49,MATCH(G24,'DELAY CODE REGISTER'!$B$6:$B$49,0)),"")</f>
        <v/>
      </c>
    </row>
    <row r="25" spans="2:17" ht="14.25" customHeight="1" x14ac:dyDescent="0.3">
      <c r="B25" s="53">
        <v>46284</v>
      </c>
      <c r="C25" s="54" t="s">
        <v>173</v>
      </c>
      <c r="D25" s="55"/>
      <c r="E25" s="55"/>
      <c r="F25" s="29" t="str">
        <f t="shared" si="0"/>
        <v/>
      </c>
      <c r="G25" s="55"/>
      <c r="H25" s="55"/>
      <c r="I25" s="55"/>
      <c r="J25" s="29">
        <f>IF($C25="Y",'SETUP &amp; TARGETS'!$C7,0)</f>
        <v>18</v>
      </c>
      <c r="K25" s="29">
        <f t="shared" si="2"/>
        <v>342</v>
      </c>
      <c r="L25" s="29">
        <f t="shared" si="3"/>
        <v>123</v>
      </c>
      <c r="M25" s="27">
        <f t="shared" si="1"/>
        <v>0.35964912280701755</v>
      </c>
      <c r="N25" s="27" t="str">
        <f>IF($F25="","",IFERROR($F25/'SETUP &amp; TARGETS'!$C7,0))</f>
        <v/>
      </c>
      <c r="O25" s="27" t="str">
        <f>IF(OR($C25&lt;&gt;"Y",COUNT($D25,$E25,$H25,$I25)=0),"",MAX(0,IFERROR(('SETUP &amp; TARGETS'!$C$10-N($I25))/'SETUP &amp; TARGETS'!$C$10,0)))</f>
        <v/>
      </c>
      <c r="P25" s="22" t="str">
        <f>IF($K25=0,"",IF($M25&gt;='SETUP &amp; TARGETS'!$C11,"GREEN",IF($M25&gt;='SETUP &amp; TARGETS'!$C13,"AMBER","RED")))</f>
        <v>RED</v>
      </c>
      <c r="Q25" s="57" t="str">
        <f>IFERROR(INDEX('DELAY CODE REGISTER'!$C$6:$C$49,MATCH(G25,'DELAY CODE REGISTER'!$B$6:$B$49,0)),"")</f>
        <v/>
      </c>
    </row>
    <row r="26" spans="2:17" ht="14.25" customHeight="1" x14ac:dyDescent="0.3">
      <c r="B26" s="53">
        <v>46285</v>
      </c>
      <c r="C26" s="54" t="s">
        <v>173</v>
      </c>
      <c r="D26" s="55"/>
      <c r="E26" s="55"/>
      <c r="F26" s="29" t="str">
        <f t="shared" si="0"/>
        <v/>
      </c>
      <c r="G26" s="55"/>
      <c r="H26" s="55"/>
      <c r="I26" s="55"/>
      <c r="J26" s="29">
        <f>IF($C26="Y",'SETUP &amp; TARGETS'!$C7,0)</f>
        <v>18</v>
      </c>
      <c r="K26" s="29">
        <f t="shared" si="2"/>
        <v>360</v>
      </c>
      <c r="L26" s="29">
        <f t="shared" si="3"/>
        <v>123</v>
      </c>
      <c r="M26" s="27">
        <f t="shared" si="1"/>
        <v>0.34166666666666667</v>
      </c>
      <c r="N26" s="27" t="str">
        <f>IF($F26="","",IFERROR($F26/'SETUP &amp; TARGETS'!$C7,0))</f>
        <v/>
      </c>
      <c r="O26" s="27" t="str">
        <f>IF(OR($C26&lt;&gt;"Y",COUNT($D26,$E26,$H26,$I26)=0),"",MAX(0,IFERROR(('SETUP &amp; TARGETS'!$C$10-N($I26))/'SETUP &amp; TARGETS'!$C$10,0)))</f>
        <v/>
      </c>
      <c r="P26" s="22" t="str">
        <f>IF($K26=0,"",IF($M26&gt;='SETUP &amp; TARGETS'!$C11,"GREEN",IF($M26&gt;='SETUP &amp; TARGETS'!$C13,"AMBER","RED")))</f>
        <v>RED</v>
      </c>
      <c r="Q26" s="57" t="str">
        <f>IFERROR(INDEX('DELAY CODE REGISTER'!$C$6:$C$49,MATCH(G26,'DELAY CODE REGISTER'!$B$6:$B$49,0)),"")</f>
        <v/>
      </c>
    </row>
    <row r="27" spans="2:17" ht="14.25" customHeight="1" x14ac:dyDescent="0.3">
      <c r="B27" s="53">
        <v>46286</v>
      </c>
      <c r="C27" s="54" t="s">
        <v>173</v>
      </c>
      <c r="D27" s="55"/>
      <c r="E27" s="55"/>
      <c r="F27" s="29" t="str">
        <f t="shared" si="0"/>
        <v/>
      </c>
      <c r="G27" s="55"/>
      <c r="H27" s="55"/>
      <c r="I27" s="55"/>
      <c r="J27" s="29">
        <f>IF($C27="Y",'SETUP &amp; TARGETS'!$C7,0)</f>
        <v>18</v>
      </c>
      <c r="K27" s="29">
        <f t="shared" si="2"/>
        <v>378</v>
      </c>
      <c r="L27" s="29">
        <f t="shared" si="3"/>
        <v>123</v>
      </c>
      <c r="M27" s="27">
        <f t="shared" si="1"/>
        <v>0.32539682539682541</v>
      </c>
      <c r="N27" s="27" t="str">
        <f>IF($F27="","",IFERROR($F27/'SETUP &amp; TARGETS'!$C7,0))</f>
        <v/>
      </c>
      <c r="O27" s="27" t="str">
        <f>IF(OR($C27&lt;&gt;"Y",COUNT($D27,$E27,$H27,$I27)=0),"",MAX(0,IFERROR(('SETUP &amp; TARGETS'!$C$10-N($I27))/'SETUP &amp; TARGETS'!$C$10,0)))</f>
        <v/>
      </c>
      <c r="P27" s="22" t="str">
        <f>IF($K27=0,"",IF($M27&gt;='SETUP &amp; TARGETS'!$C11,"GREEN",IF($M27&gt;='SETUP &amp; TARGETS'!$C13,"AMBER","RED")))</f>
        <v>RED</v>
      </c>
      <c r="Q27" s="57" t="str">
        <f>IFERROR(INDEX('DELAY CODE REGISTER'!$C$6:$C$49,MATCH(G27,'DELAY CODE REGISTER'!$B$6:$B$49,0)),"")</f>
        <v/>
      </c>
    </row>
    <row r="28" spans="2:17" ht="14.25" customHeight="1" x14ac:dyDescent="0.3">
      <c r="B28" s="53">
        <v>46287</v>
      </c>
      <c r="C28" s="54" t="s">
        <v>173</v>
      </c>
      <c r="D28" s="55"/>
      <c r="E28" s="55"/>
      <c r="F28" s="29" t="str">
        <f t="shared" si="0"/>
        <v/>
      </c>
      <c r="G28" s="55"/>
      <c r="H28" s="55"/>
      <c r="I28" s="55"/>
      <c r="J28" s="29">
        <f>IF($C28="Y",'SETUP &amp; TARGETS'!$C7,0)</f>
        <v>18</v>
      </c>
      <c r="K28" s="29">
        <f t="shared" si="2"/>
        <v>396</v>
      </c>
      <c r="L28" s="29">
        <f t="shared" si="3"/>
        <v>123</v>
      </c>
      <c r="M28" s="27">
        <f t="shared" si="1"/>
        <v>0.31060606060606061</v>
      </c>
      <c r="N28" s="27" t="str">
        <f>IF($F28="","",IFERROR($F28/'SETUP &amp; TARGETS'!$C7,0))</f>
        <v/>
      </c>
      <c r="O28" s="27" t="str">
        <f>IF(OR($C28&lt;&gt;"Y",COUNT($D28,$E28,$H28,$I28)=0),"",MAX(0,IFERROR(('SETUP &amp; TARGETS'!$C$10-N($I28))/'SETUP &amp; TARGETS'!$C$10,0)))</f>
        <v/>
      </c>
      <c r="P28" s="22" t="str">
        <f>IF($K28=0,"",IF($M28&gt;='SETUP &amp; TARGETS'!$C11,"GREEN",IF($M28&gt;='SETUP &amp; TARGETS'!$C13,"AMBER","RED")))</f>
        <v>RED</v>
      </c>
      <c r="Q28" s="57" t="str">
        <f>IFERROR(INDEX('DELAY CODE REGISTER'!$C$6:$C$49,MATCH(G28,'DELAY CODE REGISTER'!$B$6:$B$49,0)),"")</f>
        <v/>
      </c>
    </row>
    <row r="29" spans="2:17" ht="14.25" customHeight="1" x14ac:dyDescent="0.3">
      <c r="B29" s="53">
        <v>46288</v>
      </c>
      <c r="C29" s="54" t="s">
        <v>173</v>
      </c>
      <c r="D29" s="55"/>
      <c r="E29" s="55"/>
      <c r="F29" s="29" t="str">
        <f t="shared" si="0"/>
        <v/>
      </c>
      <c r="G29" s="55"/>
      <c r="H29" s="55"/>
      <c r="I29" s="55"/>
      <c r="J29" s="29">
        <f>IF($C29="Y",'SETUP &amp; TARGETS'!$C7,0)</f>
        <v>18</v>
      </c>
      <c r="K29" s="29">
        <f t="shared" si="2"/>
        <v>414</v>
      </c>
      <c r="L29" s="29">
        <f t="shared" si="3"/>
        <v>123</v>
      </c>
      <c r="M29" s="27">
        <f t="shared" si="1"/>
        <v>0.29710144927536231</v>
      </c>
      <c r="N29" s="27" t="str">
        <f>IF($F29="","",IFERROR($F29/'SETUP &amp; TARGETS'!$C7,0))</f>
        <v/>
      </c>
      <c r="O29" s="27" t="str">
        <f>IF(OR($C29&lt;&gt;"Y",COUNT($D29,$E29,$H29,$I29)=0),"",MAX(0,IFERROR(('SETUP &amp; TARGETS'!$C$10-N($I29))/'SETUP &amp; TARGETS'!$C$10,0)))</f>
        <v/>
      </c>
      <c r="P29" s="22" t="str">
        <f>IF($K29=0,"",IF($M29&gt;='SETUP &amp; TARGETS'!$C11,"GREEN",IF($M29&gt;='SETUP &amp; TARGETS'!$C13,"AMBER","RED")))</f>
        <v>RED</v>
      </c>
      <c r="Q29" s="57" t="str">
        <f>IFERROR(INDEX('DELAY CODE REGISTER'!$C$6:$C$49,MATCH(G29,'DELAY CODE REGISTER'!$B$6:$B$49,0)),"")</f>
        <v/>
      </c>
    </row>
    <row r="30" spans="2:17" ht="14.25" customHeight="1" x14ac:dyDescent="0.3">
      <c r="B30" s="53">
        <v>46289</v>
      </c>
      <c r="C30" s="54" t="s">
        <v>173</v>
      </c>
      <c r="D30" s="55"/>
      <c r="E30" s="55"/>
      <c r="F30" s="29" t="str">
        <f t="shared" si="0"/>
        <v/>
      </c>
      <c r="G30" s="55"/>
      <c r="H30" s="55"/>
      <c r="I30" s="55"/>
      <c r="J30" s="29">
        <f>IF($C30="Y",'SETUP &amp; TARGETS'!$C7,0)</f>
        <v>18</v>
      </c>
      <c r="K30" s="29">
        <f t="shared" si="2"/>
        <v>432</v>
      </c>
      <c r="L30" s="29">
        <f t="shared" si="3"/>
        <v>123</v>
      </c>
      <c r="M30" s="27">
        <f t="shared" si="1"/>
        <v>0.28472222222222221</v>
      </c>
      <c r="N30" s="27" t="str">
        <f>IF($F30="","",IFERROR($F30/'SETUP &amp; TARGETS'!$C7,0))</f>
        <v/>
      </c>
      <c r="O30" s="27" t="str">
        <f>IF(OR($C30&lt;&gt;"Y",COUNT($D30,$E30,$H30,$I30)=0),"",MAX(0,IFERROR(('SETUP &amp; TARGETS'!$C$10-N($I30))/'SETUP &amp; TARGETS'!$C$10,0)))</f>
        <v/>
      </c>
      <c r="P30" s="22" t="str">
        <f>IF($K30=0,"",IF($M30&gt;='SETUP &amp; TARGETS'!$C11,"GREEN",IF($M30&gt;='SETUP &amp; TARGETS'!$C13,"AMBER","RED")))</f>
        <v>RED</v>
      </c>
      <c r="Q30" s="57" t="str">
        <f>IFERROR(INDEX('DELAY CODE REGISTER'!$C$6:$C$49,MATCH(G30,'DELAY CODE REGISTER'!$B$6:$B$49,0)),"")</f>
        <v/>
      </c>
    </row>
    <row r="31" spans="2:17" ht="14.25" customHeight="1" x14ac:dyDescent="0.3">
      <c r="B31" s="53">
        <v>46290</v>
      </c>
      <c r="C31" s="54" t="s">
        <v>173</v>
      </c>
      <c r="D31" s="55"/>
      <c r="E31" s="55"/>
      <c r="F31" s="29" t="str">
        <f t="shared" si="0"/>
        <v/>
      </c>
      <c r="G31" s="55"/>
      <c r="H31" s="55"/>
      <c r="I31" s="55"/>
      <c r="J31" s="29">
        <f>IF($C31="Y",'SETUP &amp; TARGETS'!$C7,0)</f>
        <v>18</v>
      </c>
      <c r="K31" s="29">
        <f t="shared" si="2"/>
        <v>450</v>
      </c>
      <c r="L31" s="29">
        <f t="shared" si="3"/>
        <v>123</v>
      </c>
      <c r="M31" s="27">
        <f t="shared" si="1"/>
        <v>0.27333333333333332</v>
      </c>
      <c r="N31" s="27" t="str">
        <f>IF($F31="","",IFERROR($F31/'SETUP &amp; TARGETS'!$C7,0))</f>
        <v/>
      </c>
      <c r="O31" s="27" t="str">
        <f>IF(OR($C31&lt;&gt;"Y",COUNT($D31,$E31,$H31,$I31)=0),"",MAX(0,IFERROR(('SETUP &amp; TARGETS'!$C$10-N($I31))/'SETUP &amp; TARGETS'!$C$10,0)))</f>
        <v/>
      </c>
      <c r="P31" s="22" t="str">
        <f>IF($K31=0,"",IF($M31&gt;='SETUP &amp; TARGETS'!$C11,"GREEN",IF($M31&gt;='SETUP &amp; TARGETS'!$C13,"AMBER","RED")))</f>
        <v>RED</v>
      </c>
      <c r="Q31" s="57" t="str">
        <f>IFERROR(INDEX('DELAY CODE REGISTER'!$C$6:$C$49,MATCH(G31,'DELAY CODE REGISTER'!$B$6:$B$49,0)),"")</f>
        <v/>
      </c>
    </row>
    <row r="32" spans="2:17" ht="14.25" customHeight="1" x14ac:dyDescent="0.3">
      <c r="B32" s="53">
        <v>46291</v>
      </c>
      <c r="C32" s="54" t="s">
        <v>173</v>
      </c>
      <c r="D32" s="55"/>
      <c r="E32" s="55"/>
      <c r="F32" s="29" t="str">
        <f t="shared" si="0"/>
        <v/>
      </c>
      <c r="G32" s="55"/>
      <c r="H32" s="55"/>
      <c r="I32" s="55"/>
      <c r="J32" s="29">
        <f>IF($C32="Y",'SETUP &amp; TARGETS'!$C7,0)</f>
        <v>18</v>
      </c>
      <c r="K32" s="29">
        <f t="shared" si="2"/>
        <v>468</v>
      </c>
      <c r="L32" s="29">
        <f t="shared" si="3"/>
        <v>123</v>
      </c>
      <c r="M32" s="27">
        <f t="shared" si="1"/>
        <v>0.26282051282051283</v>
      </c>
      <c r="N32" s="27" t="str">
        <f>IF($F32="","",IFERROR($F32/'SETUP &amp; TARGETS'!$C7,0))</f>
        <v/>
      </c>
      <c r="O32" s="27" t="str">
        <f>IF(OR($C32&lt;&gt;"Y",COUNT($D32,$E32,$H32,$I32)=0),"",MAX(0,IFERROR(('SETUP &amp; TARGETS'!$C$10-N($I32))/'SETUP &amp; TARGETS'!$C$10,0)))</f>
        <v/>
      </c>
      <c r="P32" s="22" t="str">
        <f>IF($K32=0,"",IF($M32&gt;='SETUP &amp; TARGETS'!$C11,"GREEN",IF($M32&gt;='SETUP &amp; TARGETS'!$C13,"AMBER","RED")))</f>
        <v>RED</v>
      </c>
      <c r="Q32" s="57" t="str">
        <f>IFERROR(INDEX('DELAY CODE REGISTER'!$C$6:$C$49,MATCH(G32,'DELAY CODE REGISTER'!$B$6:$B$49,0)),"")</f>
        <v/>
      </c>
    </row>
    <row r="33" spans="2:17" ht="14.25" customHeight="1" x14ac:dyDescent="0.3">
      <c r="B33" s="53">
        <v>46292</v>
      </c>
      <c r="C33" s="54" t="s">
        <v>173</v>
      </c>
      <c r="D33" s="55"/>
      <c r="E33" s="55"/>
      <c r="F33" s="29" t="str">
        <f t="shared" si="0"/>
        <v/>
      </c>
      <c r="G33" s="55"/>
      <c r="H33" s="55"/>
      <c r="I33" s="55"/>
      <c r="J33" s="29">
        <f>IF($C33="Y",'SETUP &amp; TARGETS'!$C7,0)</f>
        <v>18</v>
      </c>
      <c r="K33" s="29">
        <f t="shared" si="2"/>
        <v>486</v>
      </c>
      <c r="L33" s="29">
        <f t="shared" si="3"/>
        <v>123</v>
      </c>
      <c r="M33" s="27">
        <f t="shared" si="1"/>
        <v>0.25308641975308643</v>
      </c>
      <c r="N33" s="27" t="str">
        <f>IF($F33="","",IFERROR($F33/'SETUP &amp; TARGETS'!$C7,0))</f>
        <v/>
      </c>
      <c r="O33" s="27" t="str">
        <f>IF(OR($C33&lt;&gt;"Y",COUNT($D33,$E33,$H33,$I33)=0),"",MAX(0,IFERROR(('SETUP &amp; TARGETS'!$C$10-N($I33))/'SETUP &amp; TARGETS'!$C$10,0)))</f>
        <v/>
      </c>
      <c r="P33" s="22" t="str">
        <f>IF($K33=0,"",IF($M33&gt;='SETUP &amp; TARGETS'!$C11,"GREEN",IF($M33&gt;='SETUP &amp; TARGETS'!$C13,"AMBER","RED")))</f>
        <v>RED</v>
      </c>
      <c r="Q33" s="57" t="str">
        <f>IFERROR(INDEX('DELAY CODE REGISTER'!$C$6:$C$49,MATCH(G33,'DELAY CODE REGISTER'!$B$6:$B$49,0)),"")</f>
        <v/>
      </c>
    </row>
    <row r="34" spans="2:17" ht="14.25" customHeight="1" x14ac:dyDescent="0.3">
      <c r="B34" s="53">
        <v>46293</v>
      </c>
      <c r="C34" s="54" t="s">
        <v>173</v>
      </c>
      <c r="D34" s="55"/>
      <c r="E34" s="55"/>
      <c r="F34" s="29" t="str">
        <f t="shared" si="0"/>
        <v/>
      </c>
      <c r="G34" s="55"/>
      <c r="H34" s="55"/>
      <c r="I34" s="55"/>
      <c r="J34" s="29">
        <f>IF($C34="Y",'SETUP &amp; TARGETS'!$C7,0)</f>
        <v>18</v>
      </c>
      <c r="K34" s="29">
        <f t="shared" si="2"/>
        <v>504</v>
      </c>
      <c r="L34" s="29">
        <f t="shared" si="3"/>
        <v>123</v>
      </c>
      <c r="M34" s="27">
        <f t="shared" si="1"/>
        <v>0.24404761904761904</v>
      </c>
      <c r="N34" s="27" t="str">
        <f>IF($F34="","",IFERROR($F34/'SETUP &amp; TARGETS'!$C7,0))</f>
        <v/>
      </c>
      <c r="O34" s="27" t="str">
        <f>IF(OR($C34&lt;&gt;"Y",COUNT($D34,$E34,$H34,$I34)=0),"",MAX(0,IFERROR(('SETUP &amp; TARGETS'!$C$10-N($I34))/'SETUP &amp; TARGETS'!$C$10,0)))</f>
        <v/>
      </c>
      <c r="P34" s="22" t="str">
        <f>IF($K34=0,"",IF($M34&gt;='SETUP &amp; TARGETS'!$C11,"GREEN",IF($M34&gt;='SETUP &amp; TARGETS'!$C13,"AMBER","RED")))</f>
        <v>RED</v>
      </c>
      <c r="Q34" s="57" t="str">
        <f>IFERROR(INDEX('DELAY CODE REGISTER'!$C$6:$C$49,MATCH(G34,'DELAY CODE REGISTER'!$B$6:$B$49,0)),"")</f>
        <v/>
      </c>
    </row>
    <row r="35" spans="2:17" ht="14.25" customHeight="1" x14ac:dyDescent="0.3">
      <c r="B35" s="53">
        <v>46294</v>
      </c>
      <c r="C35" s="54" t="s">
        <v>173</v>
      </c>
      <c r="D35" s="55"/>
      <c r="E35" s="55"/>
      <c r="F35" s="29" t="str">
        <f t="shared" si="0"/>
        <v/>
      </c>
      <c r="G35" s="55"/>
      <c r="H35" s="55"/>
      <c r="I35" s="55"/>
      <c r="J35" s="29">
        <f>IF($C35="Y",'SETUP &amp; TARGETS'!$C7,0)</f>
        <v>18</v>
      </c>
      <c r="K35" s="29">
        <f t="shared" si="2"/>
        <v>522</v>
      </c>
      <c r="L35" s="29">
        <f t="shared" si="3"/>
        <v>123</v>
      </c>
      <c r="M35" s="27">
        <f t="shared" si="1"/>
        <v>0.23563218390804597</v>
      </c>
      <c r="N35" s="27" t="str">
        <f>IF($F35="","",IFERROR($F35/'SETUP &amp; TARGETS'!$C7,0))</f>
        <v/>
      </c>
      <c r="O35" s="27" t="str">
        <f>IF(OR($C35&lt;&gt;"Y",COUNT($D35,$E35,$H35,$I35)=0),"",MAX(0,IFERROR(('SETUP &amp; TARGETS'!$C$10-N($I35))/'SETUP &amp; TARGETS'!$C$10,0)))</f>
        <v/>
      </c>
      <c r="P35" s="22" t="str">
        <f>IF($K35=0,"",IF($M35&gt;='SETUP &amp; TARGETS'!$C11,"GREEN",IF($M35&gt;='SETUP &amp; TARGETS'!$C13,"AMBER","RED")))</f>
        <v>RED</v>
      </c>
      <c r="Q35" s="57" t="str">
        <f>IFERROR(INDEX('DELAY CODE REGISTER'!$C$6:$C$49,MATCH(G35,'DELAY CODE REGISTER'!$B$6:$B$49,0)),"")</f>
        <v/>
      </c>
    </row>
    <row r="36" spans="2:17" ht="14.25" customHeight="1" x14ac:dyDescent="0.3">
      <c r="B36" s="53">
        <v>46295</v>
      </c>
      <c r="C36" s="54" t="s">
        <v>173</v>
      </c>
      <c r="D36" s="55"/>
      <c r="E36" s="55"/>
      <c r="F36" s="29" t="str">
        <f t="shared" si="0"/>
        <v/>
      </c>
      <c r="G36" s="55"/>
      <c r="H36" s="55"/>
      <c r="I36" s="55"/>
      <c r="J36" s="29">
        <f>IF($C36="Y",'SETUP &amp; TARGETS'!$C7,0)</f>
        <v>18</v>
      </c>
      <c r="K36" s="29">
        <f t="shared" si="2"/>
        <v>540</v>
      </c>
      <c r="L36" s="29">
        <f t="shared" si="3"/>
        <v>123</v>
      </c>
      <c r="M36" s="27">
        <f t="shared" si="1"/>
        <v>0.22777777777777777</v>
      </c>
      <c r="N36" s="27" t="str">
        <f>IF($F36="","",IFERROR($F36/'SETUP &amp; TARGETS'!$C7,0))</f>
        <v/>
      </c>
      <c r="O36" s="27" t="str">
        <f>IF(OR($C36&lt;&gt;"Y",COUNT($D36,$E36,$H36,$I36)=0),"",MAX(0,IFERROR(('SETUP &amp; TARGETS'!$C$10-N($I36))/'SETUP &amp; TARGETS'!$C$10,0)))</f>
        <v/>
      </c>
      <c r="P36" s="22" t="str">
        <f>IF($K36=0,"",IF($M36&gt;='SETUP &amp; TARGETS'!$C11,"GREEN",IF($M36&gt;='SETUP &amp; TARGETS'!$C13,"AMBER","RED")))</f>
        <v>RED</v>
      </c>
      <c r="Q36" s="57" t="str">
        <f>IFERROR(INDEX('DELAY CODE REGISTER'!$C$6:$C$49,MATCH(G36,'DELAY CODE REGISTER'!$B$6:$B$49,0)),"")</f>
        <v/>
      </c>
    </row>
    <row r="37" spans="2:17" ht="14.25" customHeight="1" x14ac:dyDescent="0.3">
      <c r="B37" s="53"/>
      <c r="C37" s="54" t="s">
        <v>173</v>
      </c>
      <c r="D37" s="55"/>
      <c r="E37" s="55"/>
      <c r="F37" s="29" t="str">
        <f t="shared" si="0"/>
        <v/>
      </c>
      <c r="G37" s="55"/>
      <c r="H37" s="55"/>
      <c r="I37" s="55"/>
      <c r="J37" s="29">
        <f>IF($C37="Y",'SETUP &amp; TARGETS'!$C7,0)</f>
        <v>18</v>
      </c>
      <c r="K37" s="29">
        <f t="shared" si="2"/>
        <v>558</v>
      </c>
      <c r="L37" s="29">
        <f t="shared" si="3"/>
        <v>123</v>
      </c>
      <c r="M37" s="27">
        <f t="shared" si="1"/>
        <v>0.22043010752688172</v>
      </c>
      <c r="N37" s="27" t="str">
        <f>IF($F37="","",IFERROR($F37/'SETUP &amp; TARGETS'!$C7,0))</f>
        <v/>
      </c>
      <c r="O37" s="27" t="str">
        <f>IF(OR($C37&lt;&gt;"Y",COUNT($D37,$E37,$H37,$I37)=0),"",MAX(0,IFERROR(('SETUP &amp; TARGETS'!$C$10-N($I37))/'SETUP &amp; TARGETS'!$C$10,0)))</f>
        <v/>
      </c>
      <c r="P37" s="22" t="str">
        <f>IF($K37=0,"",IF($M37&gt;='SETUP &amp; TARGETS'!$C11,"GREEN",IF($M37&gt;='SETUP &amp; TARGETS'!$C13,"AMBER","RED")))</f>
        <v>RED</v>
      </c>
      <c r="Q37" s="57" t="str">
        <f>IFERROR(INDEX('DELAY CODE REGISTER'!$C$6:$C$49,MATCH(G37,'DELAY CODE REGISTER'!$B$6:$B$49,0)),"")</f>
        <v/>
      </c>
    </row>
    <row r="38" spans="2:17" ht="14.25" customHeight="1" x14ac:dyDescent="0.3">
      <c r="B38" s="23" t="s">
        <v>177</v>
      </c>
      <c r="C38" s="23"/>
      <c r="D38" s="23"/>
      <c r="E38" s="23"/>
      <c r="F38" s="24">
        <f>SUM(F7:F37)</f>
        <v>123</v>
      </c>
      <c r="G38" s="23"/>
      <c r="H38" s="24">
        <f>SUM(H7:H37)</f>
        <v>143</v>
      </c>
      <c r="I38" s="24">
        <f>SUM(I7:I37)</f>
        <v>0</v>
      </c>
      <c r="J38" s="24">
        <f>SUM(J7:J37)</f>
        <v>558</v>
      </c>
      <c r="K38" s="24">
        <f>K37</f>
        <v>558</v>
      </c>
      <c r="L38" s="24">
        <f>L37</f>
        <v>123</v>
      </c>
      <c r="M38" s="26">
        <f>IFERROR(L38/K38,0)</f>
        <v>0.22043010752688172</v>
      </c>
      <c r="N38" s="26">
        <f>IFERROR(F38/'SETUP &amp; TARGETS'!$C9,0)</f>
        <v>0.22043010752688172</v>
      </c>
      <c r="O38" s="26">
        <f>IF(COUNT(O7:O37)=0,0,AVERAGE(O7:O37))</f>
        <v>1</v>
      </c>
      <c r="P38" s="23"/>
      <c r="Q38" s="23"/>
    </row>
  </sheetData>
  <sheetProtection sheet="1" objects="1" scenarios="1"/>
  <conditionalFormatting sqref="P7:P37">
    <cfRule type="cellIs" dxfId="30" priority="2" operator="equal">
      <formula>"GREEN"</formula>
    </cfRule>
    <cfRule type="cellIs" dxfId="29" priority="3" operator="equal">
      <formula>"AMBER"</formula>
    </cfRule>
    <cfRule type="cellIs" dxfId="28" priority="4" operator="equal">
      <formula>"RED"</formula>
    </cfRule>
  </conditionalFormatting>
  <dataValidations count="2">
    <dataValidation type="list" allowBlank="1" sqref="C7:C37" xr:uid="{00000000-0002-0000-0800-000000000000}">
      <formula1>"Y,N"</formula1>
      <formula2>0</formula2>
    </dataValidation>
    <dataValidation type="custom" allowBlank="1" showInputMessage="1" showErrorMessage="1" sqref="E7:E37" xr:uid="{00000000-0002-0000-0800-000001000000}">
      <formula1>OR(E7="",E7&gt;=D7)</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800-000002000000}">
          <x14:formula1>
            <xm:f>'DELAY CODE REGISTER'!$B$6:$B$49</xm:f>
          </x14:formula1>
          <x14:formula2>
            <xm:f>0</xm:f>
          </x14:formula2>
          <xm:sqref>G7:G37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R54"/>
  <sheetViews>
    <sheetView showGridLines="0" zoomScaleNormal="100" workbookViewId="0">
      <pane xSplit="2" ySplit="7" topLeftCell="C8" activePane="bottomRight" state="frozen"/>
      <selection pane="topRight" activeCell="C1" sqref="C1"/>
      <selection pane="bottomLeft" activeCell="A8" sqref="A8"/>
      <selection pane="bottomRight" activeCell="E10" sqref="E10"/>
    </sheetView>
  </sheetViews>
  <sheetFormatPr defaultColWidth="8.6640625" defaultRowHeight="14.4" x14ac:dyDescent="0.3"/>
  <cols>
    <col min="1" max="1" width="3.77734375" customWidth="1"/>
    <col min="2" max="2" width="14" customWidth="1"/>
    <col min="3" max="3" width="9" customWidth="1"/>
    <col min="4" max="4" width="15.88671875" customWidth="1"/>
    <col min="5" max="18" width="9" customWidth="1"/>
  </cols>
  <sheetData>
    <row r="2" spans="2:18" ht="18" x14ac:dyDescent="0.35">
      <c r="B2" s="58" t="s">
        <v>195</v>
      </c>
    </row>
    <row r="3" spans="2:18" x14ac:dyDescent="0.3">
      <c r="B3" s="59" t="s">
        <v>43</v>
      </c>
    </row>
    <row r="4" spans="2:18" x14ac:dyDescent="0.3">
      <c r="B4" s="31" t="s">
        <v>196</v>
      </c>
    </row>
    <row r="6" spans="2:18" ht="21.75" customHeight="1" x14ac:dyDescent="0.3">
      <c r="B6" s="102" t="s">
        <v>159</v>
      </c>
      <c r="C6" s="102" t="str">
        <f>'SETUP &amp; TARGETS'!$B$40</f>
        <v>Lindokuhle Ntombela</v>
      </c>
      <c r="D6" s="102"/>
      <c r="E6" s="102"/>
      <c r="F6" s="102"/>
      <c r="G6" s="102" t="str">
        <f>'SETUP &amp; TARGETS'!$B$41</f>
        <v>Motlalepula Molefe</v>
      </c>
      <c r="H6" s="102"/>
      <c r="I6" s="102"/>
      <c r="J6" s="102"/>
      <c r="K6" s="102" t="str">
        <f>'SETUP &amp; TARGETS'!$B$42</f>
        <v>Thabo Monyane</v>
      </c>
      <c r="L6" s="102"/>
      <c r="M6" s="102"/>
      <c r="N6" s="102"/>
      <c r="O6" s="102" t="str">
        <f>'SETUP &amp; TARGETS'!$B$43</f>
        <v>Tshepang Maepa</v>
      </c>
      <c r="P6" s="102"/>
      <c r="Q6" s="102"/>
      <c r="R6" s="102"/>
    </row>
    <row r="7" spans="2:18" ht="30" customHeight="1" x14ac:dyDescent="0.3">
      <c r="B7" s="102"/>
      <c r="C7" s="2" t="s">
        <v>197</v>
      </c>
      <c r="D7" s="2" t="s">
        <v>198</v>
      </c>
      <c r="E7" s="2" t="s">
        <v>199</v>
      </c>
      <c r="F7" s="2" t="s">
        <v>200</v>
      </c>
      <c r="G7" s="2" t="s">
        <v>197</v>
      </c>
      <c r="H7" s="2" t="s">
        <v>198</v>
      </c>
      <c r="I7" s="2" t="s">
        <v>199</v>
      </c>
      <c r="J7" s="2" t="s">
        <v>200</v>
      </c>
      <c r="K7" s="2" t="s">
        <v>197</v>
      </c>
      <c r="L7" s="2" t="s">
        <v>198</v>
      </c>
      <c r="M7" s="2" t="s">
        <v>199</v>
      </c>
      <c r="N7" s="2" t="s">
        <v>200</v>
      </c>
      <c r="O7" s="2" t="s">
        <v>197</v>
      </c>
      <c r="P7" s="2" t="s">
        <v>198</v>
      </c>
      <c r="Q7" s="2" t="s">
        <v>199</v>
      </c>
      <c r="R7" s="2" t="s">
        <v>200</v>
      </c>
    </row>
    <row r="8" spans="2:18" x14ac:dyDescent="0.3">
      <c r="B8" s="60">
        <f>'CRT220'!B7</f>
        <v>46266</v>
      </c>
      <c r="C8" s="61"/>
      <c r="D8" s="62" t="str">
        <f>IF($C8="","",IF($C8="O",0,'SETUP &amp; TARGETS'!$C$28))</f>
        <v/>
      </c>
      <c r="E8" s="35"/>
      <c r="F8" s="63">
        <f>IF($B8="","",SUMIFS('MAINTENANCE LOG'!$R$8:$R$107,'MAINTENANCE LOG'!$J$8:$J$107,C$6,'MAINTENANCE LOG'!$H$8:$H$107,$B8)+SUMIFS('MAINTENANCE LOG'!$R$8:$R$107,'MAINTENANCE LOG'!$K$8:$K$107,C$6,'MAINTENANCE LOG'!$H$8:$H$107,$B8))</f>
        <v>0</v>
      </c>
      <c r="G8" s="61"/>
      <c r="H8" s="62" t="str">
        <f>IF($G8="","",IF($G8="O",0,'SETUP &amp; TARGETS'!$C$28))</f>
        <v/>
      </c>
      <c r="I8" s="35"/>
      <c r="J8" s="63">
        <f>IF($B8="","",SUMIFS('MAINTENANCE LOG'!$R$8:$R$107,'MAINTENANCE LOG'!$J$8:$J$107,G$6,'MAINTENANCE LOG'!$H$8:$H$107,$B8)+SUMIFS('MAINTENANCE LOG'!$R$8:$R$107,'MAINTENANCE LOG'!$K$8:$K$107,G$6,'MAINTENANCE LOG'!$H$8:$H$107,$B8))</f>
        <v>0</v>
      </c>
      <c r="K8" s="61"/>
      <c r="L8" s="62" t="str">
        <f>IF($K8="","",IF($K8="O",0,'SETUP &amp; TARGETS'!$C$28))</f>
        <v/>
      </c>
      <c r="M8" s="35"/>
      <c r="N8" s="63">
        <f>IF($B8="","",SUMIFS('MAINTENANCE LOG'!$R$8:$R$107,'MAINTENANCE LOG'!$J$8:$J$107,K$6,'MAINTENANCE LOG'!$H$8:$H$107,$B8)+SUMIFS('MAINTENANCE LOG'!$R$8:$R$107,'MAINTENANCE LOG'!$K$8:$K$107,K$6,'MAINTENANCE LOG'!$H$8:$H$107,$B8))</f>
        <v>0</v>
      </c>
      <c r="O8" s="61"/>
      <c r="P8" s="62" t="str">
        <f>IF($O8="","",IF($O8="O",0,'SETUP &amp; TARGETS'!$C$28))</f>
        <v/>
      </c>
      <c r="Q8" s="35"/>
      <c r="R8" s="63">
        <f>IF($B8="","",SUMIFS('MAINTENANCE LOG'!$R$8:$R$107,'MAINTENANCE LOG'!$J$8:$J$107,O$6,'MAINTENANCE LOG'!$H$8:$H$107,$B8)+SUMIFS('MAINTENANCE LOG'!$R$8:$R$107,'MAINTENANCE LOG'!$K$8:$K$107,O$6,'MAINTENANCE LOG'!$H$8:$H$107,$B8))</f>
        <v>0</v>
      </c>
    </row>
    <row r="9" spans="2:18" x14ac:dyDescent="0.3">
      <c r="B9" s="60">
        <f>'CRT220'!B8</f>
        <v>46267</v>
      </c>
      <c r="C9" s="61"/>
      <c r="D9" s="62" t="str">
        <f>IF($C9="","",IF($C9="O",0,'SETUP &amp; TARGETS'!$C$28))</f>
        <v/>
      </c>
      <c r="E9" s="35"/>
      <c r="F9" s="63">
        <f>IF($B9="","",SUMIFS('MAINTENANCE LOG'!$R$8:$R$107,'MAINTENANCE LOG'!$J$8:$J$107,C$6,'MAINTENANCE LOG'!$H$8:$H$107,$B9)+SUMIFS('MAINTENANCE LOG'!$R$8:$R$107,'MAINTENANCE LOG'!$K$8:$K$107,C$6,'MAINTENANCE LOG'!$H$8:$H$107,$B9))</f>
        <v>0</v>
      </c>
      <c r="G9" s="61"/>
      <c r="H9" s="62" t="str">
        <f>IF($G9="","",IF($G9="O",0,'SETUP &amp; TARGETS'!$C$28))</f>
        <v/>
      </c>
      <c r="I9" s="35"/>
      <c r="J9" s="63">
        <f>IF($B9="","",SUMIFS('MAINTENANCE LOG'!$R$8:$R$107,'MAINTENANCE LOG'!$J$8:$J$107,G$6,'MAINTENANCE LOG'!$H$8:$H$107,$B9)+SUMIFS('MAINTENANCE LOG'!$R$8:$R$107,'MAINTENANCE LOG'!$K$8:$K$107,G$6,'MAINTENANCE LOG'!$H$8:$H$107,$B9))</f>
        <v>0</v>
      </c>
      <c r="K9" s="61"/>
      <c r="L9" s="62" t="str">
        <f>IF($K9="","",IF($K9="O",0,'SETUP &amp; TARGETS'!$C$28))</f>
        <v/>
      </c>
      <c r="M9" s="35"/>
      <c r="N9" s="63">
        <f>IF($B9="","",SUMIFS('MAINTENANCE LOG'!$R$8:$R$107,'MAINTENANCE LOG'!$J$8:$J$107,K$6,'MAINTENANCE LOG'!$H$8:$H$107,$B9)+SUMIFS('MAINTENANCE LOG'!$R$8:$R$107,'MAINTENANCE LOG'!$K$8:$K$107,K$6,'MAINTENANCE LOG'!$H$8:$H$107,$B9))</f>
        <v>0</v>
      </c>
      <c r="O9" s="61"/>
      <c r="P9" s="62" t="str">
        <f>IF($O9="","",IF($O9="O",0,'SETUP &amp; TARGETS'!$C$28))</f>
        <v/>
      </c>
      <c r="Q9" s="35"/>
      <c r="R9" s="63">
        <f>IF($B9="","",SUMIFS('MAINTENANCE LOG'!$R$8:$R$107,'MAINTENANCE LOG'!$J$8:$J$107,O$6,'MAINTENANCE LOG'!$H$8:$H$107,$B9)+SUMIFS('MAINTENANCE LOG'!$R$8:$R$107,'MAINTENANCE LOG'!$K$8:$K$107,O$6,'MAINTENANCE LOG'!$H$8:$H$107,$B9))</f>
        <v>0</v>
      </c>
    </row>
    <row r="10" spans="2:18" x14ac:dyDescent="0.3">
      <c r="B10" s="60">
        <f>'CRT220'!B9</f>
        <v>46268</v>
      </c>
      <c r="C10" s="61"/>
      <c r="D10" s="62" t="str">
        <f>IF($C10="","",IF($C10="O",0,'SETUP &amp; TARGETS'!$C$28))</f>
        <v/>
      </c>
      <c r="E10" s="35"/>
      <c r="F10" s="63">
        <f>IF($B10="","",SUMIFS('MAINTENANCE LOG'!$R$8:$R$107,'MAINTENANCE LOG'!$J$8:$J$107,C$6,'MAINTENANCE LOG'!$H$8:$H$107,$B10)+SUMIFS('MAINTENANCE LOG'!$R$8:$R$107,'MAINTENANCE LOG'!$K$8:$K$107,C$6,'MAINTENANCE LOG'!$H$8:$H$107,$B10))</f>
        <v>0</v>
      </c>
      <c r="G10" s="61"/>
      <c r="H10" s="62" t="str">
        <f>IF($G10="","",IF($G10="O",0,'SETUP &amp; TARGETS'!$C$28))</f>
        <v/>
      </c>
      <c r="I10" s="35"/>
      <c r="J10" s="63">
        <f>IF($B10="","",SUMIFS('MAINTENANCE LOG'!$R$8:$R$107,'MAINTENANCE LOG'!$J$8:$J$107,G$6,'MAINTENANCE LOG'!$H$8:$H$107,$B10)+SUMIFS('MAINTENANCE LOG'!$R$8:$R$107,'MAINTENANCE LOG'!$K$8:$K$107,G$6,'MAINTENANCE LOG'!$H$8:$H$107,$B10))</f>
        <v>0</v>
      </c>
      <c r="K10" s="61"/>
      <c r="L10" s="62" t="str">
        <f>IF($K10="","",IF($K10="O",0,'SETUP &amp; TARGETS'!$C$28))</f>
        <v/>
      </c>
      <c r="M10" s="35"/>
      <c r="N10" s="63">
        <f>IF($B10="","",SUMIFS('MAINTENANCE LOG'!$R$8:$R$107,'MAINTENANCE LOG'!$J$8:$J$107,K$6,'MAINTENANCE LOG'!$H$8:$H$107,$B10)+SUMIFS('MAINTENANCE LOG'!$R$8:$R$107,'MAINTENANCE LOG'!$K$8:$K$107,K$6,'MAINTENANCE LOG'!$H$8:$H$107,$B10))</f>
        <v>0</v>
      </c>
      <c r="O10" s="61"/>
      <c r="P10" s="62" t="str">
        <f>IF($O10="","",IF($O10="O",0,'SETUP &amp; TARGETS'!$C$28))</f>
        <v/>
      </c>
      <c r="Q10" s="35"/>
      <c r="R10" s="63">
        <f>IF($B10="","",SUMIFS('MAINTENANCE LOG'!$R$8:$R$107,'MAINTENANCE LOG'!$J$8:$J$107,O$6,'MAINTENANCE LOG'!$H$8:$H$107,$B10)+SUMIFS('MAINTENANCE LOG'!$R$8:$R$107,'MAINTENANCE LOG'!$K$8:$K$107,O$6,'MAINTENANCE LOG'!$H$8:$H$107,$B10))</f>
        <v>0</v>
      </c>
    </row>
    <row r="11" spans="2:18" x14ac:dyDescent="0.3">
      <c r="B11" s="60">
        <f>'CRT220'!B10</f>
        <v>46269</v>
      </c>
      <c r="C11" s="61"/>
      <c r="D11" s="62" t="str">
        <f>IF($C11="","",IF($C11="O",0,'SETUP &amp; TARGETS'!$C$28))</f>
        <v/>
      </c>
      <c r="E11" s="35"/>
      <c r="F11" s="63">
        <f>IF($B11="","",SUMIFS('MAINTENANCE LOG'!$R$8:$R$107,'MAINTENANCE LOG'!$J$8:$J$107,C$6,'MAINTENANCE LOG'!$H$8:$H$107,$B11)+SUMIFS('MAINTENANCE LOG'!$R$8:$R$107,'MAINTENANCE LOG'!$K$8:$K$107,C$6,'MAINTENANCE LOG'!$H$8:$H$107,$B11))</f>
        <v>0</v>
      </c>
      <c r="G11" s="61"/>
      <c r="H11" s="62" t="str">
        <f>IF($G11="","",IF($G11="O",0,'SETUP &amp; TARGETS'!$C$28))</f>
        <v/>
      </c>
      <c r="I11" s="35"/>
      <c r="J11" s="63">
        <f>IF($B11="","",SUMIFS('MAINTENANCE LOG'!$R$8:$R$107,'MAINTENANCE LOG'!$J$8:$J$107,G$6,'MAINTENANCE LOG'!$H$8:$H$107,$B11)+SUMIFS('MAINTENANCE LOG'!$R$8:$R$107,'MAINTENANCE LOG'!$K$8:$K$107,G$6,'MAINTENANCE LOG'!$H$8:$H$107,$B11))</f>
        <v>0</v>
      </c>
      <c r="K11" s="61"/>
      <c r="L11" s="62" t="str">
        <f>IF($K11="","",IF($K11="O",0,'SETUP &amp; TARGETS'!$C$28))</f>
        <v/>
      </c>
      <c r="M11" s="35"/>
      <c r="N11" s="63">
        <f>IF($B11="","",SUMIFS('MAINTENANCE LOG'!$R$8:$R$107,'MAINTENANCE LOG'!$J$8:$J$107,K$6,'MAINTENANCE LOG'!$H$8:$H$107,$B11)+SUMIFS('MAINTENANCE LOG'!$R$8:$R$107,'MAINTENANCE LOG'!$K$8:$K$107,K$6,'MAINTENANCE LOG'!$H$8:$H$107,$B11))</f>
        <v>0</v>
      </c>
      <c r="O11" s="61"/>
      <c r="P11" s="62" t="str">
        <f>IF($O11="","",IF($O11="O",0,'SETUP &amp; TARGETS'!$C$28))</f>
        <v/>
      </c>
      <c r="Q11" s="35"/>
      <c r="R11" s="63">
        <f>IF($B11="","",SUMIFS('MAINTENANCE LOG'!$R$8:$R$107,'MAINTENANCE LOG'!$J$8:$J$107,O$6,'MAINTENANCE LOG'!$H$8:$H$107,$B11)+SUMIFS('MAINTENANCE LOG'!$R$8:$R$107,'MAINTENANCE LOG'!$K$8:$K$107,O$6,'MAINTENANCE LOG'!$H$8:$H$107,$B11))</f>
        <v>0</v>
      </c>
    </row>
    <row r="12" spans="2:18" x14ac:dyDescent="0.3">
      <c r="B12" s="60">
        <f>'CRT220'!B11</f>
        <v>46270</v>
      </c>
      <c r="C12" s="61"/>
      <c r="D12" s="62" t="str">
        <f>IF($C12="","",IF($C12="O",0,'SETUP &amp; TARGETS'!$C$28))</f>
        <v/>
      </c>
      <c r="E12" s="35"/>
      <c r="F12" s="63">
        <f>IF($B12="","",SUMIFS('MAINTENANCE LOG'!$R$8:$R$107,'MAINTENANCE LOG'!$J$8:$J$107,C$6,'MAINTENANCE LOG'!$H$8:$H$107,$B12)+SUMIFS('MAINTENANCE LOG'!$R$8:$R$107,'MAINTENANCE LOG'!$K$8:$K$107,C$6,'MAINTENANCE LOG'!$H$8:$H$107,$B12))</f>
        <v>0</v>
      </c>
      <c r="G12" s="61"/>
      <c r="H12" s="62" t="str">
        <f>IF($G12="","",IF($G12="O",0,'SETUP &amp; TARGETS'!$C$28))</f>
        <v/>
      </c>
      <c r="I12" s="35"/>
      <c r="J12" s="63">
        <f>IF($B12="","",SUMIFS('MAINTENANCE LOG'!$R$8:$R$107,'MAINTENANCE LOG'!$J$8:$J$107,G$6,'MAINTENANCE LOG'!$H$8:$H$107,$B12)+SUMIFS('MAINTENANCE LOG'!$R$8:$R$107,'MAINTENANCE LOG'!$K$8:$K$107,G$6,'MAINTENANCE LOG'!$H$8:$H$107,$B12))</f>
        <v>0</v>
      </c>
      <c r="K12" s="61"/>
      <c r="L12" s="62" t="str">
        <f>IF($K12="","",IF($K12="O",0,'SETUP &amp; TARGETS'!$C$28))</f>
        <v/>
      </c>
      <c r="M12" s="35"/>
      <c r="N12" s="63">
        <f>IF($B12="","",SUMIFS('MAINTENANCE LOG'!$R$8:$R$107,'MAINTENANCE LOG'!$J$8:$J$107,K$6,'MAINTENANCE LOG'!$H$8:$H$107,$B12)+SUMIFS('MAINTENANCE LOG'!$R$8:$R$107,'MAINTENANCE LOG'!$K$8:$K$107,K$6,'MAINTENANCE LOG'!$H$8:$H$107,$B12))</f>
        <v>0</v>
      </c>
      <c r="O12" s="61"/>
      <c r="P12" s="62" t="str">
        <f>IF($O12="","",IF($O12="O",0,'SETUP &amp; TARGETS'!$C$28))</f>
        <v/>
      </c>
      <c r="Q12" s="35"/>
      <c r="R12" s="63">
        <f>IF($B12="","",SUMIFS('MAINTENANCE LOG'!$R$8:$R$107,'MAINTENANCE LOG'!$J$8:$J$107,O$6,'MAINTENANCE LOG'!$H$8:$H$107,$B12)+SUMIFS('MAINTENANCE LOG'!$R$8:$R$107,'MAINTENANCE LOG'!$K$8:$K$107,O$6,'MAINTENANCE LOG'!$H$8:$H$107,$B12))</f>
        <v>0</v>
      </c>
    </row>
    <row r="13" spans="2:18" x14ac:dyDescent="0.3">
      <c r="B13" s="60">
        <f>'CRT220'!B12</f>
        <v>46271</v>
      </c>
      <c r="C13" s="61"/>
      <c r="D13" s="62" t="str">
        <f>IF($C13="","",IF($C13="O",0,'SETUP &amp; TARGETS'!$C$28))</f>
        <v/>
      </c>
      <c r="E13" s="35"/>
      <c r="F13" s="63">
        <f>IF($B13="","",SUMIFS('MAINTENANCE LOG'!$R$8:$R$107,'MAINTENANCE LOG'!$J$8:$J$107,C$6,'MAINTENANCE LOG'!$H$8:$H$107,$B13)+SUMIFS('MAINTENANCE LOG'!$R$8:$R$107,'MAINTENANCE LOG'!$K$8:$K$107,C$6,'MAINTENANCE LOG'!$H$8:$H$107,$B13))</f>
        <v>0</v>
      </c>
      <c r="G13" s="61"/>
      <c r="H13" s="62" t="str">
        <f>IF($G13="","",IF($G13="O",0,'SETUP &amp; TARGETS'!$C$28))</f>
        <v/>
      </c>
      <c r="I13" s="35"/>
      <c r="J13" s="63">
        <f>IF($B13="","",SUMIFS('MAINTENANCE LOG'!$R$8:$R$107,'MAINTENANCE LOG'!$J$8:$J$107,G$6,'MAINTENANCE LOG'!$H$8:$H$107,$B13)+SUMIFS('MAINTENANCE LOG'!$R$8:$R$107,'MAINTENANCE LOG'!$K$8:$K$107,G$6,'MAINTENANCE LOG'!$H$8:$H$107,$B13))</f>
        <v>0</v>
      </c>
      <c r="K13" s="61"/>
      <c r="L13" s="62" t="str">
        <f>IF($K13="","",IF($K13="O",0,'SETUP &amp; TARGETS'!$C$28))</f>
        <v/>
      </c>
      <c r="M13" s="35"/>
      <c r="N13" s="63">
        <f>IF($B13="","",SUMIFS('MAINTENANCE LOG'!$R$8:$R$107,'MAINTENANCE LOG'!$J$8:$J$107,K$6,'MAINTENANCE LOG'!$H$8:$H$107,$B13)+SUMIFS('MAINTENANCE LOG'!$R$8:$R$107,'MAINTENANCE LOG'!$K$8:$K$107,K$6,'MAINTENANCE LOG'!$H$8:$H$107,$B13))</f>
        <v>0</v>
      </c>
      <c r="O13" s="61"/>
      <c r="P13" s="62" t="str">
        <f>IF($O13="","",IF($O13="O",0,'SETUP &amp; TARGETS'!$C$28))</f>
        <v/>
      </c>
      <c r="Q13" s="35"/>
      <c r="R13" s="63">
        <f>IF($B13="","",SUMIFS('MAINTENANCE LOG'!$R$8:$R$107,'MAINTENANCE LOG'!$J$8:$J$107,O$6,'MAINTENANCE LOG'!$H$8:$H$107,$B13)+SUMIFS('MAINTENANCE LOG'!$R$8:$R$107,'MAINTENANCE LOG'!$K$8:$K$107,O$6,'MAINTENANCE LOG'!$H$8:$H$107,$B13))</f>
        <v>0</v>
      </c>
    </row>
    <row r="14" spans="2:18" x14ac:dyDescent="0.3">
      <c r="B14" s="60">
        <f>'CRT220'!B13</f>
        <v>46272</v>
      </c>
      <c r="C14" s="61"/>
      <c r="D14" s="62" t="str">
        <f>IF($C14="","",IF($C14="O",0,'SETUP &amp; TARGETS'!$C$28))</f>
        <v/>
      </c>
      <c r="E14" s="35"/>
      <c r="F14" s="63">
        <f>IF($B14="","",SUMIFS('MAINTENANCE LOG'!$R$8:$R$107,'MAINTENANCE LOG'!$J$8:$J$107,C$6,'MAINTENANCE LOG'!$H$8:$H$107,$B14)+SUMIFS('MAINTENANCE LOG'!$R$8:$R$107,'MAINTENANCE LOG'!$K$8:$K$107,C$6,'MAINTENANCE LOG'!$H$8:$H$107,$B14))</f>
        <v>0</v>
      </c>
      <c r="G14" s="61"/>
      <c r="H14" s="62" t="str">
        <f>IF($G14="","",IF($G14="O",0,'SETUP &amp; TARGETS'!$C$28))</f>
        <v/>
      </c>
      <c r="I14" s="35"/>
      <c r="J14" s="63">
        <f>IF($B14="","",SUMIFS('MAINTENANCE LOG'!$R$8:$R$107,'MAINTENANCE LOG'!$J$8:$J$107,G$6,'MAINTENANCE LOG'!$H$8:$H$107,$B14)+SUMIFS('MAINTENANCE LOG'!$R$8:$R$107,'MAINTENANCE LOG'!$K$8:$K$107,G$6,'MAINTENANCE LOG'!$H$8:$H$107,$B14))</f>
        <v>0</v>
      </c>
      <c r="K14" s="61"/>
      <c r="L14" s="62" t="str">
        <f>IF($K14="","",IF($K14="O",0,'SETUP &amp; TARGETS'!$C$28))</f>
        <v/>
      </c>
      <c r="M14" s="35"/>
      <c r="N14" s="63">
        <f>IF($B14="","",SUMIFS('MAINTENANCE LOG'!$R$8:$R$107,'MAINTENANCE LOG'!$J$8:$J$107,K$6,'MAINTENANCE LOG'!$H$8:$H$107,$B14)+SUMIFS('MAINTENANCE LOG'!$R$8:$R$107,'MAINTENANCE LOG'!$K$8:$K$107,K$6,'MAINTENANCE LOG'!$H$8:$H$107,$B14))</f>
        <v>0</v>
      </c>
      <c r="O14" s="61"/>
      <c r="P14" s="62" t="str">
        <f>IF($O14="","",IF($O14="O",0,'SETUP &amp; TARGETS'!$C$28))</f>
        <v/>
      </c>
      <c r="Q14" s="35"/>
      <c r="R14" s="63">
        <f>IF($B14="","",SUMIFS('MAINTENANCE LOG'!$R$8:$R$107,'MAINTENANCE LOG'!$J$8:$J$107,O$6,'MAINTENANCE LOG'!$H$8:$H$107,$B14)+SUMIFS('MAINTENANCE LOG'!$R$8:$R$107,'MAINTENANCE LOG'!$K$8:$K$107,O$6,'MAINTENANCE LOG'!$H$8:$H$107,$B14))</f>
        <v>0</v>
      </c>
    </row>
    <row r="15" spans="2:18" x14ac:dyDescent="0.3">
      <c r="B15" s="60">
        <f>'CRT220'!B14</f>
        <v>46273</v>
      </c>
      <c r="C15" s="61"/>
      <c r="D15" s="62" t="str">
        <f>IF($C15="","",IF($C15="O",0,'SETUP &amp; TARGETS'!$C$28))</f>
        <v/>
      </c>
      <c r="E15" s="35"/>
      <c r="F15" s="63">
        <f>IF($B15="","",SUMIFS('MAINTENANCE LOG'!$R$8:$R$107,'MAINTENANCE LOG'!$J$8:$J$107,C$6,'MAINTENANCE LOG'!$H$8:$H$107,$B15)+SUMIFS('MAINTENANCE LOG'!$R$8:$R$107,'MAINTENANCE LOG'!$K$8:$K$107,C$6,'MAINTENANCE LOG'!$H$8:$H$107,$B15))</f>
        <v>0</v>
      </c>
      <c r="G15" s="61"/>
      <c r="H15" s="62" t="str">
        <f>IF($G15="","",IF($G15="O",0,'SETUP &amp; TARGETS'!$C$28))</f>
        <v/>
      </c>
      <c r="I15" s="35"/>
      <c r="J15" s="63">
        <f>IF($B15="","",SUMIFS('MAINTENANCE LOG'!$R$8:$R$107,'MAINTENANCE LOG'!$J$8:$J$107,G$6,'MAINTENANCE LOG'!$H$8:$H$107,$B15)+SUMIFS('MAINTENANCE LOG'!$R$8:$R$107,'MAINTENANCE LOG'!$K$8:$K$107,G$6,'MAINTENANCE LOG'!$H$8:$H$107,$B15))</f>
        <v>0</v>
      </c>
      <c r="K15" s="61"/>
      <c r="L15" s="62" t="str">
        <f>IF($K15="","",IF($K15="O",0,'SETUP &amp; TARGETS'!$C$28))</f>
        <v/>
      </c>
      <c r="M15" s="35"/>
      <c r="N15" s="63">
        <f>IF($B15="","",SUMIFS('MAINTENANCE LOG'!$R$8:$R$107,'MAINTENANCE LOG'!$J$8:$J$107,K$6,'MAINTENANCE LOG'!$H$8:$H$107,$B15)+SUMIFS('MAINTENANCE LOG'!$R$8:$R$107,'MAINTENANCE LOG'!$K$8:$K$107,K$6,'MAINTENANCE LOG'!$H$8:$H$107,$B15))</f>
        <v>0</v>
      </c>
      <c r="O15" s="61"/>
      <c r="P15" s="62" t="str">
        <f>IF($O15="","",IF($O15="O",0,'SETUP &amp; TARGETS'!$C$28))</f>
        <v/>
      </c>
      <c r="Q15" s="35"/>
      <c r="R15" s="63">
        <f>IF($B15="","",SUMIFS('MAINTENANCE LOG'!$R$8:$R$107,'MAINTENANCE LOG'!$J$8:$J$107,O$6,'MAINTENANCE LOG'!$H$8:$H$107,$B15)+SUMIFS('MAINTENANCE LOG'!$R$8:$R$107,'MAINTENANCE LOG'!$K$8:$K$107,O$6,'MAINTENANCE LOG'!$H$8:$H$107,$B15))</f>
        <v>0</v>
      </c>
    </row>
    <row r="16" spans="2:18" x14ac:dyDescent="0.3">
      <c r="B16" s="60">
        <f>'CRT220'!B15</f>
        <v>46274</v>
      </c>
      <c r="C16" s="61"/>
      <c r="D16" s="62" t="str">
        <f>IF($C16="","",IF($C16="O",0,'SETUP &amp; TARGETS'!$C$28))</f>
        <v/>
      </c>
      <c r="E16" s="35"/>
      <c r="F16" s="63">
        <f>IF($B16="","",SUMIFS('MAINTENANCE LOG'!$R$8:$R$107,'MAINTENANCE LOG'!$J$8:$J$107,C$6,'MAINTENANCE LOG'!$H$8:$H$107,$B16)+SUMIFS('MAINTENANCE LOG'!$R$8:$R$107,'MAINTENANCE LOG'!$K$8:$K$107,C$6,'MAINTENANCE LOG'!$H$8:$H$107,$B16))</f>
        <v>0</v>
      </c>
      <c r="G16" s="61"/>
      <c r="H16" s="62" t="str">
        <f>IF($G16="","",IF($G16="O",0,'SETUP &amp; TARGETS'!$C$28))</f>
        <v/>
      </c>
      <c r="I16" s="35"/>
      <c r="J16" s="63">
        <f>IF($B16="","",SUMIFS('MAINTENANCE LOG'!$R$8:$R$107,'MAINTENANCE LOG'!$J$8:$J$107,G$6,'MAINTENANCE LOG'!$H$8:$H$107,$B16)+SUMIFS('MAINTENANCE LOG'!$R$8:$R$107,'MAINTENANCE LOG'!$K$8:$K$107,G$6,'MAINTENANCE LOG'!$H$8:$H$107,$B16))</f>
        <v>0</v>
      </c>
      <c r="K16" s="61"/>
      <c r="L16" s="62" t="str">
        <f>IF($K16="","",IF($K16="O",0,'SETUP &amp; TARGETS'!$C$28))</f>
        <v/>
      </c>
      <c r="M16" s="35"/>
      <c r="N16" s="63">
        <f>IF($B16="","",SUMIFS('MAINTENANCE LOG'!$R$8:$R$107,'MAINTENANCE LOG'!$J$8:$J$107,K$6,'MAINTENANCE LOG'!$H$8:$H$107,$B16)+SUMIFS('MAINTENANCE LOG'!$R$8:$R$107,'MAINTENANCE LOG'!$K$8:$K$107,K$6,'MAINTENANCE LOG'!$H$8:$H$107,$B16))</f>
        <v>0</v>
      </c>
      <c r="O16" s="61"/>
      <c r="P16" s="62" t="str">
        <f>IF($O16="","",IF($O16="O",0,'SETUP &amp; TARGETS'!$C$28))</f>
        <v/>
      </c>
      <c r="Q16" s="35"/>
      <c r="R16" s="63">
        <f>IF($B16="","",SUMIFS('MAINTENANCE LOG'!$R$8:$R$107,'MAINTENANCE LOG'!$J$8:$J$107,O$6,'MAINTENANCE LOG'!$H$8:$H$107,$B16)+SUMIFS('MAINTENANCE LOG'!$R$8:$R$107,'MAINTENANCE LOG'!$K$8:$K$107,O$6,'MAINTENANCE LOG'!$H$8:$H$107,$B16))</f>
        <v>0</v>
      </c>
    </row>
    <row r="17" spans="2:18" x14ac:dyDescent="0.3">
      <c r="B17" s="60">
        <f>'CRT220'!B16</f>
        <v>46275</v>
      </c>
      <c r="C17" s="61"/>
      <c r="D17" s="62" t="str">
        <f>IF($C17="","",IF($C17="O",0,'SETUP &amp; TARGETS'!$C$28))</f>
        <v/>
      </c>
      <c r="E17" s="35"/>
      <c r="F17" s="63">
        <f>IF($B17="","",SUMIFS('MAINTENANCE LOG'!$R$8:$R$107,'MAINTENANCE LOG'!$J$8:$J$107,C$6,'MAINTENANCE LOG'!$H$8:$H$107,$B17)+SUMIFS('MAINTENANCE LOG'!$R$8:$R$107,'MAINTENANCE LOG'!$K$8:$K$107,C$6,'MAINTENANCE LOG'!$H$8:$H$107,$B17))</f>
        <v>0</v>
      </c>
      <c r="G17" s="61"/>
      <c r="H17" s="62" t="str">
        <f>IF($G17="","",IF($G17="O",0,'SETUP &amp; TARGETS'!$C$28))</f>
        <v/>
      </c>
      <c r="I17" s="35"/>
      <c r="J17" s="63">
        <f>IF($B17="","",SUMIFS('MAINTENANCE LOG'!$R$8:$R$107,'MAINTENANCE LOG'!$J$8:$J$107,G$6,'MAINTENANCE LOG'!$H$8:$H$107,$B17)+SUMIFS('MAINTENANCE LOG'!$R$8:$R$107,'MAINTENANCE LOG'!$K$8:$K$107,G$6,'MAINTENANCE LOG'!$H$8:$H$107,$B17))</f>
        <v>0</v>
      </c>
      <c r="K17" s="61"/>
      <c r="L17" s="62" t="str">
        <f>IF($K17="","",IF($K17="O",0,'SETUP &amp; TARGETS'!$C$28))</f>
        <v/>
      </c>
      <c r="M17" s="35"/>
      <c r="N17" s="63">
        <f>IF($B17="","",SUMIFS('MAINTENANCE LOG'!$R$8:$R$107,'MAINTENANCE LOG'!$J$8:$J$107,K$6,'MAINTENANCE LOG'!$H$8:$H$107,$B17)+SUMIFS('MAINTENANCE LOG'!$R$8:$R$107,'MAINTENANCE LOG'!$K$8:$K$107,K$6,'MAINTENANCE LOG'!$H$8:$H$107,$B17))</f>
        <v>0</v>
      </c>
      <c r="O17" s="61"/>
      <c r="P17" s="62" t="str">
        <f>IF($O17="","",IF($O17="O",0,'SETUP &amp; TARGETS'!$C$28))</f>
        <v/>
      </c>
      <c r="Q17" s="35"/>
      <c r="R17" s="63">
        <f>IF($B17="","",SUMIFS('MAINTENANCE LOG'!$R$8:$R$107,'MAINTENANCE LOG'!$J$8:$J$107,O$6,'MAINTENANCE LOG'!$H$8:$H$107,$B17)+SUMIFS('MAINTENANCE LOG'!$R$8:$R$107,'MAINTENANCE LOG'!$K$8:$K$107,O$6,'MAINTENANCE LOG'!$H$8:$H$107,$B17))</f>
        <v>0</v>
      </c>
    </row>
    <row r="18" spans="2:18" x14ac:dyDescent="0.3">
      <c r="B18" s="60">
        <f>'CRT220'!B17</f>
        <v>46276</v>
      </c>
      <c r="C18" s="61"/>
      <c r="D18" s="62" t="str">
        <f>IF($C18="","",IF($C18="O",0,'SETUP &amp; TARGETS'!$C$28))</f>
        <v/>
      </c>
      <c r="E18" s="35"/>
      <c r="F18" s="63">
        <f>IF($B18="","",SUMIFS('MAINTENANCE LOG'!$R$8:$R$107,'MAINTENANCE LOG'!$J$8:$J$107,C$6,'MAINTENANCE LOG'!$H$8:$H$107,$B18)+SUMIFS('MAINTENANCE LOG'!$R$8:$R$107,'MAINTENANCE LOG'!$K$8:$K$107,C$6,'MAINTENANCE LOG'!$H$8:$H$107,$B18))</f>
        <v>0</v>
      </c>
      <c r="G18" s="61"/>
      <c r="H18" s="62" t="str">
        <f>IF($G18="","",IF($G18="O",0,'SETUP &amp; TARGETS'!$C$28))</f>
        <v/>
      </c>
      <c r="I18" s="35"/>
      <c r="J18" s="63">
        <f>IF($B18="","",SUMIFS('MAINTENANCE LOG'!$R$8:$R$107,'MAINTENANCE LOG'!$J$8:$J$107,G$6,'MAINTENANCE LOG'!$H$8:$H$107,$B18)+SUMIFS('MAINTENANCE LOG'!$R$8:$R$107,'MAINTENANCE LOG'!$K$8:$K$107,G$6,'MAINTENANCE LOG'!$H$8:$H$107,$B18))</f>
        <v>0</v>
      </c>
      <c r="K18" s="61"/>
      <c r="L18" s="62" t="str">
        <f>IF($K18="","",IF($K18="O",0,'SETUP &amp; TARGETS'!$C$28))</f>
        <v/>
      </c>
      <c r="M18" s="35"/>
      <c r="N18" s="63">
        <f>IF($B18="","",SUMIFS('MAINTENANCE LOG'!$R$8:$R$107,'MAINTENANCE LOG'!$J$8:$J$107,K$6,'MAINTENANCE LOG'!$H$8:$H$107,$B18)+SUMIFS('MAINTENANCE LOG'!$R$8:$R$107,'MAINTENANCE LOG'!$K$8:$K$107,K$6,'MAINTENANCE LOG'!$H$8:$H$107,$B18))</f>
        <v>0</v>
      </c>
      <c r="O18" s="61"/>
      <c r="P18" s="62" t="str">
        <f>IF($O18="","",IF($O18="O",0,'SETUP &amp; TARGETS'!$C$28))</f>
        <v/>
      </c>
      <c r="Q18" s="35"/>
      <c r="R18" s="63">
        <f>IF($B18="","",SUMIFS('MAINTENANCE LOG'!$R$8:$R$107,'MAINTENANCE LOG'!$J$8:$J$107,O$6,'MAINTENANCE LOG'!$H$8:$H$107,$B18)+SUMIFS('MAINTENANCE LOG'!$R$8:$R$107,'MAINTENANCE LOG'!$K$8:$K$107,O$6,'MAINTENANCE LOG'!$H$8:$H$107,$B18))</f>
        <v>0</v>
      </c>
    </row>
    <row r="19" spans="2:18" x14ac:dyDescent="0.3">
      <c r="B19" s="60">
        <f>'CRT220'!B18</f>
        <v>46277</v>
      </c>
      <c r="C19" s="61"/>
      <c r="D19" s="62" t="str">
        <f>IF($C19="","",IF($C19="O",0,'SETUP &amp; TARGETS'!$C$28))</f>
        <v/>
      </c>
      <c r="E19" s="35"/>
      <c r="F19" s="63">
        <f>IF($B19="","",SUMIFS('MAINTENANCE LOG'!$R$8:$R$107,'MAINTENANCE LOG'!$J$8:$J$107,C$6,'MAINTENANCE LOG'!$H$8:$H$107,$B19)+SUMIFS('MAINTENANCE LOG'!$R$8:$R$107,'MAINTENANCE LOG'!$K$8:$K$107,C$6,'MAINTENANCE LOG'!$H$8:$H$107,$B19))</f>
        <v>0</v>
      </c>
      <c r="G19" s="61"/>
      <c r="H19" s="62" t="str">
        <f>IF($G19="","",IF($G19="O",0,'SETUP &amp; TARGETS'!$C$28))</f>
        <v/>
      </c>
      <c r="I19" s="35"/>
      <c r="J19" s="63">
        <f>IF($B19="","",SUMIFS('MAINTENANCE LOG'!$R$8:$R$107,'MAINTENANCE LOG'!$J$8:$J$107,G$6,'MAINTENANCE LOG'!$H$8:$H$107,$B19)+SUMIFS('MAINTENANCE LOG'!$R$8:$R$107,'MAINTENANCE LOG'!$K$8:$K$107,G$6,'MAINTENANCE LOG'!$H$8:$H$107,$B19))</f>
        <v>0</v>
      </c>
      <c r="K19" s="61"/>
      <c r="L19" s="62" t="str">
        <f>IF($K19="","",IF($K19="O",0,'SETUP &amp; TARGETS'!$C$28))</f>
        <v/>
      </c>
      <c r="M19" s="35"/>
      <c r="N19" s="63">
        <f>IF($B19="","",SUMIFS('MAINTENANCE LOG'!$R$8:$R$107,'MAINTENANCE LOG'!$J$8:$J$107,K$6,'MAINTENANCE LOG'!$H$8:$H$107,$B19)+SUMIFS('MAINTENANCE LOG'!$R$8:$R$107,'MAINTENANCE LOG'!$K$8:$K$107,K$6,'MAINTENANCE LOG'!$H$8:$H$107,$B19))</f>
        <v>0</v>
      </c>
      <c r="O19" s="61"/>
      <c r="P19" s="62" t="str">
        <f>IF($O19="","",IF($O19="O",0,'SETUP &amp; TARGETS'!$C$28))</f>
        <v/>
      </c>
      <c r="Q19" s="35"/>
      <c r="R19" s="63">
        <f>IF($B19="","",SUMIFS('MAINTENANCE LOG'!$R$8:$R$107,'MAINTENANCE LOG'!$J$8:$J$107,O$6,'MAINTENANCE LOG'!$H$8:$H$107,$B19)+SUMIFS('MAINTENANCE LOG'!$R$8:$R$107,'MAINTENANCE LOG'!$K$8:$K$107,O$6,'MAINTENANCE LOG'!$H$8:$H$107,$B19))</f>
        <v>0</v>
      </c>
    </row>
    <row r="20" spans="2:18" x14ac:dyDescent="0.3">
      <c r="B20" s="60">
        <f>'CRT220'!B19</f>
        <v>46278</v>
      </c>
      <c r="C20" s="61"/>
      <c r="D20" s="62" t="str">
        <f>IF($C20="","",IF($C20="O",0,'SETUP &amp; TARGETS'!$C$28))</f>
        <v/>
      </c>
      <c r="E20" s="35"/>
      <c r="F20" s="63">
        <f>IF($B20="","",SUMIFS('MAINTENANCE LOG'!$R$8:$R$107,'MAINTENANCE LOG'!$J$8:$J$107,C$6,'MAINTENANCE LOG'!$H$8:$H$107,$B20)+SUMIFS('MAINTENANCE LOG'!$R$8:$R$107,'MAINTENANCE LOG'!$K$8:$K$107,C$6,'MAINTENANCE LOG'!$H$8:$H$107,$B20))</f>
        <v>0</v>
      </c>
      <c r="G20" s="61"/>
      <c r="H20" s="62" t="str">
        <f>IF($G20="","",IF($G20="O",0,'SETUP &amp; TARGETS'!$C$28))</f>
        <v/>
      </c>
      <c r="I20" s="35"/>
      <c r="J20" s="63">
        <f>IF($B20="","",SUMIFS('MAINTENANCE LOG'!$R$8:$R$107,'MAINTENANCE LOG'!$J$8:$J$107,G$6,'MAINTENANCE LOG'!$H$8:$H$107,$B20)+SUMIFS('MAINTENANCE LOG'!$R$8:$R$107,'MAINTENANCE LOG'!$K$8:$K$107,G$6,'MAINTENANCE LOG'!$H$8:$H$107,$B20))</f>
        <v>0</v>
      </c>
      <c r="K20" s="61"/>
      <c r="L20" s="62" t="str">
        <f>IF($K20="","",IF($K20="O",0,'SETUP &amp; TARGETS'!$C$28))</f>
        <v/>
      </c>
      <c r="M20" s="35"/>
      <c r="N20" s="63">
        <f>IF($B20="","",SUMIFS('MAINTENANCE LOG'!$R$8:$R$107,'MAINTENANCE LOG'!$J$8:$J$107,K$6,'MAINTENANCE LOG'!$H$8:$H$107,$B20)+SUMIFS('MAINTENANCE LOG'!$R$8:$R$107,'MAINTENANCE LOG'!$K$8:$K$107,K$6,'MAINTENANCE LOG'!$H$8:$H$107,$B20))</f>
        <v>0</v>
      </c>
      <c r="O20" s="61"/>
      <c r="P20" s="62" t="str">
        <f>IF($O20="","",IF($O20="O",0,'SETUP &amp; TARGETS'!$C$28))</f>
        <v/>
      </c>
      <c r="Q20" s="35"/>
      <c r="R20" s="63">
        <f>IF($B20="","",SUMIFS('MAINTENANCE LOG'!$R$8:$R$107,'MAINTENANCE LOG'!$J$8:$J$107,O$6,'MAINTENANCE LOG'!$H$8:$H$107,$B20)+SUMIFS('MAINTENANCE LOG'!$R$8:$R$107,'MAINTENANCE LOG'!$K$8:$K$107,O$6,'MAINTENANCE LOG'!$H$8:$H$107,$B20))</f>
        <v>0</v>
      </c>
    </row>
    <row r="21" spans="2:18" x14ac:dyDescent="0.3">
      <c r="B21" s="60">
        <f>'CRT220'!B20</f>
        <v>46279</v>
      </c>
      <c r="C21" s="61"/>
      <c r="D21" s="62" t="str">
        <f>IF($C21="","",IF($C21="O",0,'SETUP &amp; TARGETS'!$C$28))</f>
        <v/>
      </c>
      <c r="E21" s="35"/>
      <c r="F21" s="63">
        <f>IF($B21="","",SUMIFS('MAINTENANCE LOG'!$R$8:$R$107,'MAINTENANCE LOG'!$J$8:$J$107,C$6,'MAINTENANCE LOG'!$H$8:$H$107,$B21)+SUMIFS('MAINTENANCE LOG'!$R$8:$R$107,'MAINTENANCE LOG'!$K$8:$K$107,C$6,'MAINTENANCE LOG'!$H$8:$H$107,$B21))</f>
        <v>0</v>
      </c>
      <c r="G21" s="61"/>
      <c r="H21" s="62" t="str">
        <f>IF($G21="","",IF($G21="O",0,'SETUP &amp; TARGETS'!$C$28))</f>
        <v/>
      </c>
      <c r="I21" s="35"/>
      <c r="J21" s="63">
        <f>IF($B21="","",SUMIFS('MAINTENANCE LOG'!$R$8:$R$107,'MAINTENANCE LOG'!$J$8:$J$107,G$6,'MAINTENANCE LOG'!$H$8:$H$107,$B21)+SUMIFS('MAINTENANCE LOG'!$R$8:$R$107,'MAINTENANCE LOG'!$K$8:$K$107,G$6,'MAINTENANCE LOG'!$H$8:$H$107,$B21))</f>
        <v>0</v>
      </c>
      <c r="K21" s="61"/>
      <c r="L21" s="62" t="str">
        <f>IF($K21="","",IF($K21="O",0,'SETUP &amp; TARGETS'!$C$28))</f>
        <v/>
      </c>
      <c r="M21" s="35"/>
      <c r="N21" s="63">
        <f>IF($B21="","",SUMIFS('MAINTENANCE LOG'!$R$8:$R$107,'MAINTENANCE LOG'!$J$8:$J$107,K$6,'MAINTENANCE LOG'!$H$8:$H$107,$B21)+SUMIFS('MAINTENANCE LOG'!$R$8:$R$107,'MAINTENANCE LOG'!$K$8:$K$107,K$6,'MAINTENANCE LOG'!$H$8:$H$107,$B21))</f>
        <v>0</v>
      </c>
      <c r="O21" s="61"/>
      <c r="P21" s="62" t="str">
        <f>IF($O21="","",IF($O21="O",0,'SETUP &amp; TARGETS'!$C$28))</f>
        <v/>
      </c>
      <c r="Q21" s="35"/>
      <c r="R21" s="63">
        <f>IF($B21="","",SUMIFS('MAINTENANCE LOG'!$R$8:$R$107,'MAINTENANCE LOG'!$J$8:$J$107,O$6,'MAINTENANCE LOG'!$H$8:$H$107,$B21)+SUMIFS('MAINTENANCE LOG'!$R$8:$R$107,'MAINTENANCE LOG'!$K$8:$K$107,O$6,'MAINTENANCE LOG'!$H$8:$H$107,$B21))</f>
        <v>0</v>
      </c>
    </row>
    <row r="22" spans="2:18" x14ac:dyDescent="0.3">
      <c r="B22" s="60">
        <f>'CRT220'!B21</f>
        <v>46280</v>
      </c>
      <c r="C22" s="61"/>
      <c r="D22" s="62" t="str">
        <f>IF($C22="","",IF($C22="O",0,'SETUP &amp; TARGETS'!$C$28))</f>
        <v/>
      </c>
      <c r="E22" s="35"/>
      <c r="F22" s="63">
        <f>IF($B22="","",SUMIFS('MAINTENANCE LOG'!$R$8:$R$107,'MAINTENANCE LOG'!$J$8:$J$107,C$6,'MAINTENANCE LOG'!$H$8:$H$107,$B22)+SUMIFS('MAINTENANCE LOG'!$R$8:$R$107,'MAINTENANCE LOG'!$K$8:$K$107,C$6,'MAINTENANCE LOG'!$H$8:$H$107,$B22))</f>
        <v>0</v>
      </c>
      <c r="G22" s="61"/>
      <c r="H22" s="62" t="str">
        <f>IF($G22="","",IF($G22="O",0,'SETUP &amp; TARGETS'!$C$28))</f>
        <v/>
      </c>
      <c r="I22" s="35"/>
      <c r="J22" s="63">
        <f>IF($B22="","",SUMIFS('MAINTENANCE LOG'!$R$8:$R$107,'MAINTENANCE LOG'!$J$8:$J$107,G$6,'MAINTENANCE LOG'!$H$8:$H$107,$B22)+SUMIFS('MAINTENANCE LOG'!$R$8:$R$107,'MAINTENANCE LOG'!$K$8:$K$107,G$6,'MAINTENANCE LOG'!$H$8:$H$107,$B22))</f>
        <v>0</v>
      </c>
      <c r="K22" s="61"/>
      <c r="L22" s="62" t="str">
        <f>IF($K22="","",IF($K22="O",0,'SETUP &amp; TARGETS'!$C$28))</f>
        <v/>
      </c>
      <c r="M22" s="35"/>
      <c r="N22" s="63">
        <f>IF($B22="","",SUMIFS('MAINTENANCE LOG'!$R$8:$R$107,'MAINTENANCE LOG'!$J$8:$J$107,K$6,'MAINTENANCE LOG'!$H$8:$H$107,$B22)+SUMIFS('MAINTENANCE LOG'!$R$8:$R$107,'MAINTENANCE LOG'!$K$8:$K$107,K$6,'MAINTENANCE LOG'!$H$8:$H$107,$B22))</f>
        <v>0</v>
      </c>
      <c r="O22" s="61"/>
      <c r="P22" s="62" t="str">
        <f>IF($O22="","",IF($O22="O",0,'SETUP &amp; TARGETS'!$C$28))</f>
        <v/>
      </c>
      <c r="Q22" s="35"/>
      <c r="R22" s="63">
        <f>IF($B22="","",SUMIFS('MAINTENANCE LOG'!$R$8:$R$107,'MAINTENANCE LOG'!$J$8:$J$107,O$6,'MAINTENANCE LOG'!$H$8:$H$107,$B22)+SUMIFS('MAINTENANCE LOG'!$R$8:$R$107,'MAINTENANCE LOG'!$K$8:$K$107,O$6,'MAINTENANCE LOG'!$H$8:$H$107,$B22))</f>
        <v>0</v>
      </c>
    </row>
    <row r="23" spans="2:18" x14ac:dyDescent="0.3">
      <c r="B23" s="60">
        <f>'CRT220'!B22</f>
        <v>46281</v>
      </c>
      <c r="C23" s="61"/>
      <c r="D23" s="62" t="str">
        <f>IF($C23="","",IF($C23="O",0,'SETUP &amp; TARGETS'!$C$28))</f>
        <v/>
      </c>
      <c r="E23" s="35"/>
      <c r="F23" s="63">
        <f>IF($B23="","",SUMIFS('MAINTENANCE LOG'!$R$8:$R$107,'MAINTENANCE LOG'!$J$8:$J$107,C$6,'MAINTENANCE LOG'!$H$8:$H$107,$B23)+SUMIFS('MAINTENANCE LOG'!$R$8:$R$107,'MAINTENANCE LOG'!$K$8:$K$107,C$6,'MAINTENANCE LOG'!$H$8:$H$107,$B23))</f>
        <v>0</v>
      </c>
      <c r="G23" s="61"/>
      <c r="H23" s="62" t="str">
        <f>IF($G23="","",IF($G23="O",0,'SETUP &amp; TARGETS'!$C$28))</f>
        <v/>
      </c>
      <c r="I23" s="35"/>
      <c r="J23" s="63">
        <f>IF($B23="","",SUMIFS('MAINTENANCE LOG'!$R$8:$R$107,'MAINTENANCE LOG'!$J$8:$J$107,G$6,'MAINTENANCE LOG'!$H$8:$H$107,$B23)+SUMIFS('MAINTENANCE LOG'!$R$8:$R$107,'MAINTENANCE LOG'!$K$8:$K$107,G$6,'MAINTENANCE LOG'!$H$8:$H$107,$B23))</f>
        <v>0</v>
      </c>
      <c r="K23" s="61"/>
      <c r="L23" s="62" t="str">
        <f>IF($K23="","",IF($K23="O",0,'SETUP &amp; TARGETS'!$C$28))</f>
        <v/>
      </c>
      <c r="M23" s="35"/>
      <c r="N23" s="63">
        <f>IF($B23="","",SUMIFS('MAINTENANCE LOG'!$R$8:$R$107,'MAINTENANCE LOG'!$J$8:$J$107,K$6,'MAINTENANCE LOG'!$H$8:$H$107,$B23)+SUMIFS('MAINTENANCE LOG'!$R$8:$R$107,'MAINTENANCE LOG'!$K$8:$K$107,K$6,'MAINTENANCE LOG'!$H$8:$H$107,$B23))</f>
        <v>0</v>
      </c>
      <c r="O23" s="61"/>
      <c r="P23" s="62" t="str">
        <f>IF($O23="","",IF($O23="O",0,'SETUP &amp; TARGETS'!$C$28))</f>
        <v/>
      </c>
      <c r="Q23" s="35"/>
      <c r="R23" s="63">
        <f>IF($B23="","",SUMIFS('MAINTENANCE LOG'!$R$8:$R$107,'MAINTENANCE LOG'!$J$8:$J$107,O$6,'MAINTENANCE LOG'!$H$8:$H$107,$B23)+SUMIFS('MAINTENANCE LOG'!$R$8:$R$107,'MAINTENANCE LOG'!$K$8:$K$107,O$6,'MAINTENANCE LOG'!$H$8:$H$107,$B23))</f>
        <v>0</v>
      </c>
    </row>
    <row r="24" spans="2:18" x14ac:dyDescent="0.3">
      <c r="B24" s="60">
        <f>'CRT220'!B23</f>
        <v>46282</v>
      </c>
      <c r="C24" s="61"/>
      <c r="D24" s="62" t="str">
        <f>IF($C24="","",IF($C24="O",0,'SETUP &amp; TARGETS'!$C$28))</f>
        <v/>
      </c>
      <c r="E24" s="35"/>
      <c r="F24" s="63">
        <f>IF($B24="","",SUMIFS('MAINTENANCE LOG'!$R$8:$R$107,'MAINTENANCE LOG'!$J$8:$J$107,C$6,'MAINTENANCE LOG'!$H$8:$H$107,$B24)+SUMIFS('MAINTENANCE LOG'!$R$8:$R$107,'MAINTENANCE LOG'!$K$8:$K$107,C$6,'MAINTENANCE LOG'!$H$8:$H$107,$B24))</f>
        <v>0</v>
      </c>
      <c r="G24" s="61"/>
      <c r="H24" s="62" t="str">
        <f>IF($G24="","",IF($G24="O",0,'SETUP &amp; TARGETS'!$C$28))</f>
        <v/>
      </c>
      <c r="I24" s="35"/>
      <c r="J24" s="63">
        <f>IF($B24="","",SUMIFS('MAINTENANCE LOG'!$R$8:$R$107,'MAINTENANCE LOG'!$J$8:$J$107,G$6,'MAINTENANCE LOG'!$H$8:$H$107,$B24)+SUMIFS('MAINTENANCE LOG'!$R$8:$R$107,'MAINTENANCE LOG'!$K$8:$K$107,G$6,'MAINTENANCE LOG'!$H$8:$H$107,$B24))</f>
        <v>0</v>
      </c>
      <c r="K24" s="61"/>
      <c r="L24" s="62" t="str">
        <f>IF($K24="","",IF($K24="O",0,'SETUP &amp; TARGETS'!$C$28))</f>
        <v/>
      </c>
      <c r="M24" s="35"/>
      <c r="N24" s="63">
        <f>IF($B24="","",SUMIFS('MAINTENANCE LOG'!$R$8:$R$107,'MAINTENANCE LOG'!$J$8:$J$107,K$6,'MAINTENANCE LOG'!$H$8:$H$107,$B24)+SUMIFS('MAINTENANCE LOG'!$R$8:$R$107,'MAINTENANCE LOG'!$K$8:$K$107,K$6,'MAINTENANCE LOG'!$H$8:$H$107,$B24))</f>
        <v>0</v>
      </c>
      <c r="O24" s="61"/>
      <c r="P24" s="62" t="str">
        <f>IF($O24="","",IF($O24="O",0,'SETUP &amp; TARGETS'!$C$28))</f>
        <v/>
      </c>
      <c r="Q24" s="35"/>
      <c r="R24" s="63">
        <f>IF($B24="","",SUMIFS('MAINTENANCE LOG'!$R$8:$R$107,'MAINTENANCE LOG'!$J$8:$J$107,O$6,'MAINTENANCE LOG'!$H$8:$H$107,$B24)+SUMIFS('MAINTENANCE LOG'!$R$8:$R$107,'MAINTENANCE LOG'!$K$8:$K$107,O$6,'MAINTENANCE LOG'!$H$8:$H$107,$B24))</f>
        <v>0</v>
      </c>
    </row>
    <row r="25" spans="2:18" x14ac:dyDescent="0.3">
      <c r="B25" s="60">
        <f>'CRT220'!B24</f>
        <v>46283</v>
      </c>
      <c r="C25" s="61"/>
      <c r="D25" s="62" t="str">
        <f>IF($C25="","",IF($C25="O",0,'SETUP &amp; TARGETS'!$C$28))</f>
        <v/>
      </c>
      <c r="E25" s="35"/>
      <c r="F25" s="63">
        <f>IF($B25="","",SUMIFS('MAINTENANCE LOG'!$R$8:$R$107,'MAINTENANCE LOG'!$J$8:$J$107,C$6,'MAINTENANCE LOG'!$H$8:$H$107,$B25)+SUMIFS('MAINTENANCE LOG'!$R$8:$R$107,'MAINTENANCE LOG'!$K$8:$K$107,C$6,'MAINTENANCE LOG'!$H$8:$H$107,$B25))</f>
        <v>0</v>
      </c>
      <c r="G25" s="61"/>
      <c r="H25" s="62" t="str">
        <f>IF($G25="","",IF($G25="O",0,'SETUP &amp; TARGETS'!$C$28))</f>
        <v/>
      </c>
      <c r="I25" s="35"/>
      <c r="J25" s="63">
        <f>IF($B25="","",SUMIFS('MAINTENANCE LOG'!$R$8:$R$107,'MAINTENANCE LOG'!$J$8:$J$107,G$6,'MAINTENANCE LOG'!$H$8:$H$107,$B25)+SUMIFS('MAINTENANCE LOG'!$R$8:$R$107,'MAINTENANCE LOG'!$K$8:$K$107,G$6,'MAINTENANCE LOG'!$H$8:$H$107,$B25))</f>
        <v>0</v>
      </c>
      <c r="K25" s="61"/>
      <c r="L25" s="62" t="str">
        <f>IF($K25="","",IF($K25="O",0,'SETUP &amp; TARGETS'!$C$28))</f>
        <v/>
      </c>
      <c r="M25" s="35"/>
      <c r="N25" s="63">
        <f>IF($B25="","",SUMIFS('MAINTENANCE LOG'!$R$8:$R$107,'MAINTENANCE LOG'!$J$8:$J$107,K$6,'MAINTENANCE LOG'!$H$8:$H$107,$B25)+SUMIFS('MAINTENANCE LOG'!$R$8:$R$107,'MAINTENANCE LOG'!$K$8:$K$107,K$6,'MAINTENANCE LOG'!$H$8:$H$107,$B25))</f>
        <v>0</v>
      </c>
      <c r="O25" s="61"/>
      <c r="P25" s="62" t="str">
        <f>IF($O25="","",IF($O25="O",0,'SETUP &amp; TARGETS'!$C$28))</f>
        <v/>
      </c>
      <c r="Q25" s="35"/>
      <c r="R25" s="63">
        <f>IF($B25="","",SUMIFS('MAINTENANCE LOG'!$R$8:$R$107,'MAINTENANCE LOG'!$J$8:$J$107,O$6,'MAINTENANCE LOG'!$H$8:$H$107,$B25)+SUMIFS('MAINTENANCE LOG'!$R$8:$R$107,'MAINTENANCE LOG'!$K$8:$K$107,O$6,'MAINTENANCE LOG'!$H$8:$H$107,$B25))</f>
        <v>0</v>
      </c>
    </row>
    <row r="26" spans="2:18" x14ac:dyDescent="0.3">
      <c r="B26" s="60">
        <f>'CRT220'!B25</f>
        <v>46284</v>
      </c>
      <c r="C26" s="61"/>
      <c r="D26" s="62" t="str">
        <f>IF($C26="","",IF($C26="O",0,'SETUP &amp; TARGETS'!$C$28))</f>
        <v/>
      </c>
      <c r="E26" s="35"/>
      <c r="F26" s="63">
        <f>IF($B26="","",SUMIFS('MAINTENANCE LOG'!$R$8:$R$107,'MAINTENANCE LOG'!$J$8:$J$107,C$6,'MAINTENANCE LOG'!$H$8:$H$107,$B26)+SUMIFS('MAINTENANCE LOG'!$R$8:$R$107,'MAINTENANCE LOG'!$K$8:$K$107,C$6,'MAINTENANCE LOG'!$H$8:$H$107,$B26))</f>
        <v>0</v>
      </c>
      <c r="G26" s="61"/>
      <c r="H26" s="62" t="str">
        <f>IF($G26="","",IF($G26="O",0,'SETUP &amp; TARGETS'!$C$28))</f>
        <v/>
      </c>
      <c r="I26" s="35"/>
      <c r="J26" s="63">
        <f>IF($B26="","",SUMIFS('MAINTENANCE LOG'!$R$8:$R$107,'MAINTENANCE LOG'!$J$8:$J$107,G$6,'MAINTENANCE LOG'!$H$8:$H$107,$B26)+SUMIFS('MAINTENANCE LOG'!$R$8:$R$107,'MAINTENANCE LOG'!$K$8:$K$107,G$6,'MAINTENANCE LOG'!$H$8:$H$107,$B26))</f>
        <v>0</v>
      </c>
      <c r="K26" s="61"/>
      <c r="L26" s="62" t="str">
        <f>IF($K26="","",IF($K26="O",0,'SETUP &amp; TARGETS'!$C$28))</f>
        <v/>
      </c>
      <c r="M26" s="35"/>
      <c r="N26" s="63">
        <f>IF($B26="","",SUMIFS('MAINTENANCE LOG'!$R$8:$R$107,'MAINTENANCE LOG'!$J$8:$J$107,K$6,'MAINTENANCE LOG'!$H$8:$H$107,$B26)+SUMIFS('MAINTENANCE LOG'!$R$8:$R$107,'MAINTENANCE LOG'!$K$8:$K$107,K$6,'MAINTENANCE LOG'!$H$8:$H$107,$B26))</f>
        <v>0</v>
      </c>
      <c r="O26" s="61"/>
      <c r="P26" s="62" t="str">
        <f>IF($O26="","",IF($O26="O",0,'SETUP &amp; TARGETS'!$C$28))</f>
        <v/>
      </c>
      <c r="Q26" s="35"/>
      <c r="R26" s="63">
        <f>IF($B26="","",SUMIFS('MAINTENANCE LOG'!$R$8:$R$107,'MAINTENANCE LOG'!$J$8:$J$107,O$6,'MAINTENANCE LOG'!$H$8:$H$107,$B26)+SUMIFS('MAINTENANCE LOG'!$R$8:$R$107,'MAINTENANCE LOG'!$K$8:$K$107,O$6,'MAINTENANCE LOG'!$H$8:$H$107,$B26))</f>
        <v>0</v>
      </c>
    </row>
    <row r="27" spans="2:18" x14ac:dyDescent="0.3">
      <c r="B27" s="60">
        <f>'CRT220'!B26</f>
        <v>46285</v>
      </c>
      <c r="C27" s="61"/>
      <c r="D27" s="62" t="str">
        <f>IF($C27="","",IF($C27="O",0,'SETUP &amp; TARGETS'!$C$28))</f>
        <v/>
      </c>
      <c r="E27" s="35"/>
      <c r="F27" s="63">
        <f>IF($B27="","",SUMIFS('MAINTENANCE LOG'!$R$8:$R$107,'MAINTENANCE LOG'!$J$8:$J$107,C$6,'MAINTENANCE LOG'!$H$8:$H$107,$B27)+SUMIFS('MAINTENANCE LOG'!$R$8:$R$107,'MAINTENANCE LOG'!$K$8:$K$107,C$6,'MAINTENANCE LOG'!$H$8:$H$107,$B27))</f>
        <v>132</v>
      </c>
      <c r="G27" s="61"/>
      <c r="H27" s="62" t="str">
        <f>IF($G27="","",IF($G27="O",0,'SETUP &amp; TARGETS'!$C$28))</f>
        <v/>
      </c>
      <c r="I27" s="35"/>
      <c r="J27" s="63">
        <f>IF($B27="","",SUMIFS('MAINTENANCE LOG'!$R$8:$R$107,'MAINTENANCE LOG'!$J$8:$J$107,G$6,'MAINTENANCE LOG'!$H$8:$H$107,$B27)+SUMIFS('MAINTENANCE LOG'!$R$8:$R$107,'MAINTENANCE LOG'!$K$8:$K$107,G$6,'MAINTENANCE LOG'!$H$8:$H$107,$B27))</f>
        <v>0</v>
      </c>
      <c r="K27" s="61"/>
      <c r="L27" s="62" t="str">
        <f>IF($K27="","",IF($K27="O",0,'SETUP &amp; TARGETS'!$C$28))</f>
        <v/>
      </c>
      <c r="M27" s="35"/>
      <c r="N27" s="63">
        <f>IF($B27="","",SUMIFS('MAINTENANCE LOG'!$R$8:$R$107,'MAINTENANCE LOG'!$J$8:$J$107,K$6,'MAINTENANCE LOG'!$H$8:$H$107,$B27)+SUMIFS('MAINTENANCE LOG'!$R$8:$R$107,'MAINTENANCE LOG'!$K$8:$K$107,K$6,'MAINTENANCE LOG'!$H$8:$H$107,$B27))</f>
        <v>132</v>
      </c>
      <c r="O27" s="61"/>
      <c r="P27" s="62" t="str">
        <f>IF($O27="","",IF($O27="O",0,'SETUP &amp; TARGETS'!$C$28))</f>
        <v/>
      </c>
      <c r="Q27" s="35"/>
      <c r="R27" s="63">
        <f>IF($B27="","",SUMIFS('MAINTENANCE LOG'!$R$8:$R$107,'MAINTENANCE LOG'!$J$8:$J$107,O$6,'MAINTENANCE LOG'!$H$8:$H$107,$B27)+SUMIFS('MAINTENANCE LOG'!$R$8:$R$107,'MAINTENANCE LOG'!$K$8:$K$107,O$6,'MAINTENANCE LOG'!$H$8:$H$107,$B27))</f>
        <v>0</v>
      </c>
    </row>
    <row r="28" spans="2:18" x14ac:dyDescent="0.3">
      <c r="B28" s="60">
        <f>'CRT220'!B27</f>
        <v>46286</v>
      </c>
      <c r="C28" s="61"/>
      <c r="D28" s="62" t="str">
        <f>IF($C28="","",IF($C28="O",0,'SETUP &amp; TARGETS'!$C$28))</f>
        <v/>
      </c>
      <c r="E28" s="35"/>
      <c r="F28" s="63">
        <f>IF($B28="","",SUMIFS('MAINTENANCE LOG'!$R$8:$R$107,'MAINTENANCE LOG'!$J$8:$J$107,C$6,'MAINTENANCE LOG'!$H$8:$H$107,$B28)+SUMIFS('MAINTENANCE LOG'!$R$8:$R$107,'MAINTENANCE LOG'!$K$8:$K$107,C$6,'MAINTENANCE LOG'!$H$8:$H$107,$B28))</f>
        <v>0</v>
      </c>
      <c r="G28" s="61"/>
      <c r="H28" s="62" t="str">
        <f>IF($G28="","",IF($G28="O",0,'SETUP &amp; TARGETS'!$C$28))</f>
        <v/>
      </c>
      <c r="I28" s="35"/>
      <c r="J28" s="63">
        <f>IF($B28="","",SUMIFS('MAINTENANCE LOG'!$R$8:$R$107,'MAINTENANCE LOG'!$J$8:$J$107,G$6,'MAINTENANCE LOG'!$H$8:$H$107,$B28)+SUMIFS('MAINTENANCE LOG'!$R$8:$R$107,'MAINTENANCE LOG'!$K$8:$K$107,G$6,'MAINTENANCE LOG'!$H$8:$H$107,$B28))</f>
        <v>0</v>
      </c>
      <c r="K28" s="61"/>
      <c r="L28" s="62" t="str">
        <f>IF($K28="","",IF($K28="O",0,'SETUP &amp; TARGETS'!$C$28))</f>
        <v/>
      </c>
      <c r="M28" s="35"/>
      <c r="N28" s="63">
        <f>IF($B28="","",SUMIFS('MAINTENANCE LOG'!$R$8:$R$107,'MAINTENANCE LOG'!$J$8:$J$107,K$6,'MAINTENANCE LOG'!$H$8:$H$107,$B28)+SUMIFS('MAINTENANCE LOG'!$R$8:$R$107,'MAINTENANCE LOG'!$K$8:$K$107,K$6,'MAINTENANCE LOG'!$H$8:$H$107,$B28))</f>
        <v>0</v>
      </c>
      <c r="O28" s="61"/>
      <c r="P28" s="62" t="str">
        <f>IF($O28="","",IF($O28="O",0,'SETUP &amp; TARGETS'!$C$28))</f>
        <v/>
      </c>
      <c r="Q28" s="35"/>
      <c r="R28" s="63">
        <f>IF($B28="","",SUMIFS('MAINTENANCE LOG'!$R$8:$R$107,'MAINTENANCE LOG'!$J$8:$J$107,O$6,'MAINTENANCE LOG'!$H$8:$H$107,$B28)+SUMIFS('MAINTENANCE LOG'!$R$8:$R$107,'MAINTENANCE LOG'!$K$8:$K$107,O$6,'MAINTENANCE LOG'!$H$8:$H$107,$B28))</f>
        <v>0</v>
      </c>
    </row>
    <row r="29" spans="2:18" x14ac:dyDescent="0.3">
      <c r="B29" s="60">
        <f>'CRT220'!B28</f>
        <v>46287</v>
      </c>
      <c r="C29" s="61"/>
      <c r="D29" s="62" t="str">
        <f>IF($C29="","",IF($C29="O",0,'SETUP &amp; TARGETS'!$C$28))</f>
        <v/>
      </c>
      <c r="E29" s="35"/>
      <c r="F29" s="63">
        <f>IF($B29="","",SUMIFS('MAINTENANCE LOG'!$R$8:$R$107,'MAINTENANCE LOG'!$J$8:$J$107,C$6,'MAINTENANCE LOG'!$H$8:$H$107,$B29)+SUMIFS('MAINTENANCE LOG'!$R$8:$R$107,'MAINTENANCE LOG'!$K$8:$K$107,C$6,'MAINTENANCE LOG'!$H$8:$H$107,$B29))</f>
        <v>0</v>
      </c>
      <c r="G29" s="61"/>
      <c r="H29" s="62" t="str">
        <f>IF($G29="","",IF($G29="O",0,'SETUP &amp; TARGETS'!$C$28))</f>
        <v/>
      </c>
      <c r="I29" s="35"/>
      <c r="J29" s="63">
        <f>IF($B29="","",SUMIFS('MAINTENANCE LOG'!$R$8:$R$107,'MAINTENANCE LOG'!$J$8:$J$107,G$6,'MAINTENANCE LOG'!$H$8:$H$107,$B29)+SUMIFS('MAINTENANCE LOG'!$R$8:$R$107,'MAINTENANCE LOG'!$K$8:$K$107,G$6,'MAINTENANCE LOG'!$H$8:$H$107,$B29))</f>
        <v>0</v>
      </c>
      <c r="K29" s="61"/>
      <c r="L29" s="62" t="str">
        <f>IF($K29="","",IF($K29="O",0,'SETUP &amp; TARGETS'!$C$28))</f>
        <v/>
      </c>
      <c r="M29" s="35"/>
      <c r="N29" s="63">
        <f>IF($B29="","",SUMIFS('MAINTENANCE LOG'!$R$8:$R$107,'MAINTENANCE LOG'!$J$8:$J$107,K$6,'MAINTENANCE LOG'!$H$8:$H$107,$B29)+SUMIFS('MAINTENANCE LOG'!$R$8:$R$107,'MAINTENANCE LOG'!$K$8:$K$107,K$6,'MAINTENANCE LOG'!$H$8:$H$107,$B29))</f>
        <v>0</v>
      </c>
      <c r="O29" s="61"/>
      <c r="P29" s="62" t="str">
        <f>IF($O29="","",IF($O29="O",0,'SETUP &amp; TARGETS'!$C$28))</f>
        <v/>
      </c>
      <c r="Q29" s="35"/>
      <c r="R29" s="63">
        <f>IF($B29="","",SUMIFS('MAINTENANCE LOG'!$R$8:$R$107,'MAINTENANCE LOG'!$J$8:$J$107,O$6,'MAINTENANCE LOG'!$H$8:$H$107,$B29)+SUMIFS('MAINTENANCE LOG'!$R$8:$R$107,'MAINTENANCE LOG'!$K$8:$K$107,O$6,'MAINTENANCE LOG'!$H$8:$H$107,$B29))</f>
        <v>0</v>
      </c>
    </row>
    <row r="30" spans="2:18" x14ac:dyDescent="0.3">
      <c r="B30" s="60">
        <f>'CRT220'!B29</f>
        <v>46288</v>
      </c>
      <c r="C30" s="61"/>
      <c r="D30" s="62" t="str">
        <f>IF($C30="","",IF($C30="O",0,'SETUP &amp; TARGETS'!$C$28))</f>
        <v/>
      </c>
      <c r="E30" s="35"/>
      <c r="F30" s="63">
        <f>IF($B30="","",SUMIFS('MAINTENANCE LOG'!$R$8:$R$107,'MAINTENANCE LOG'!$J$8:$J$107,C$6,'MAINTENANCE LOG'!$H$8:$H$107,$B30)+SUMIFS('MAINTENANCE LOG'!$R$8:$R$107,'MAINTENANCE LOG'!$K$8:$K$107,C$6,'MAINTENANCE LOG'!$H$8:$H$107,$B30))</f>
        <v>0</v>
      </c>
      <c r="G30" s="61"/>
      <c r="H30" s="62" t="str">
        <f>IF($G30="","",IF($G30="O",0,'SETUP &amp; TARGETS'!$C$28))</f>
        <v/>
      </c>
      <c r="I30" s="35"/>
      <c r="J30" s="63">
        <f>IF($B30="","",SUMIFS('MAINTENANCE LOG'!$R$8:$R$107,'MAINTENANCE LOG'!$J$8:$J$107,G$6,'MAINTENANCE LOG'!$H$8:$H$107,$B30)+SUMIFS('MAINTENANCE LOG'!$R$8:$R$107,'MAINTENANCE LOG'!$K$8:$K$107,G$6,'MAINTENANCE LOG'!$H$8:$H$107,$B30))</f>
        <v>0</v>
      </c>
      <c r="K30" s="61"/>
      <c r="L30" s="62" t="str">
        <f>IF($K30="","",IF($K30="O",0,'SETUP &amp; TARGETS'!$C$28))</f>
        <v/>
      </c>
      <c r="M30" s="35"/>
      <c r="N30" s="63">
        <f>IF($B30="","",SUMIFS('MAINTENANCE LOG'!$R$8:$R$107,'MAINTENANCE LOG'!$J$8:$J$107,K$6,'MAINTENANCE LOG'!$H$8:$H$107,$B30)+SUMIFS('MAINTENANCE LOG'!$R$8:$R$107,'MAINTENANCE LOG'!$K$8:$K$107,K$6,'MAINTENANCE LOG'!$H$8:$H$107,$B30))</f>
        <v>0</v>
      </c>
      <c r="O30" s="61"/>
      <c r="P30" s="62" t="str">
        <f>IF($O30="","",IF($O30="O",0,'SETUP &amp; TARGETS'!$C$28))</f>
        <v/>
      </c>
      <c r="Q30" s="35"/>
      <c r="R30" s="63">
        <f>IF($B30="","",SUMIFS('MAINTENANCE LOG'!$R$8:$R$107,'MAINTENANCE LOG'!$J$8:$J$107,O$6,'MAINTENANCE LOG'!$H$8:$H$107,$B30)+SUMIFS('MAINTENANCE LOG'!$R$8:$R$107,'MAINTENANCE LOG'!$K$8:$K$107,O$6,'MAINTENANCE LOG'!$H$8:$H$107,$B30))</f>
        <v>0</v>
      </c>
    </row>
    <row r="31" spans="2:18" x14ac:dyDescent="0.3">
      <c r="B31" s="60">
        <f>'CRT220'!B30</f>
        <v>46289</v>
      </c>
      <c r="C31" s="61"/>
      <c r="D31" s="62" t="str">
        <f>IF($C31="","",IF($C31="O",0,'SETUP &amp; TARGETS'!$C$28))</f>
        <v/>
      </c>
      <c r="E31" s="35"/>
      <c r="F31" s="63">
        <f>IF($B31="","",SUMIFS('MAINTENANCE LOG'!$R$8:$R$107,'MAINTENANCE LOG'!$J$8:$J$107,C$6,'MAINTENANCE LOG'!$H$8:$H$107,$B31)+SUMIFS('MAINTENANCE LOG'!$R$8:$R$107,'MAINTENANCE LOG'!$K$8:$K$107,C$6,'MAINTENANCE LOG'!$H$8:$H$107,$B31))</f>
        <v>0</v>
      </c>
      <c r="G31" s="61"/>
      <c r="H31" s="62" t="str">
        <f>IF($G31="","",IF($G31="O",0,'SETUP &amp; TARGETS'!$C$28))</f>
        <v/>
      </c>
      <c r="I31" s="35"/>
      <c r="J31" s="63">
        <f>IF($B31="","",SUMIFS('MAINTENANCE LOG'!$R$8:$R$107,'MAINTENANCE LOG'!$J$8:$J$107,G$6,'MAINTENANCE LOG'!$H$8:$H$107,$B31)+SUMIFS('MAINTENANCE LOG'!$R$8:$R$107,'MAINTENANCE LOG'!$K$8:$K$107,G$6,'MAINTENANCE LOG'!$H$8:$H$107,$B31))</f>
        <v>0</v>
      </c>
      <c r="K31" s="61"/>
      <c r="L31" s="62" t="str">
        <f>IF($K31="","",IF($K31="O",0,'SETUP &amp; TARGETS'!$C$28))</f>
        <v/>
      </c>
      <c r="M31" s="35"/>
      <c r="N31" s="63">
        <f>IF($B31="","",SUMIFS('MAINTENANCE LOG'!$R$8:$R$107,'MAINTENANCE LOG'!$J$8:$J$107,K$6,'MAINTENANCE LOG'!$H$8:$H$107,$B31)+SUMIFS('MAINTENANCE LOG'!$R$8:$R$107,'MAINTENANCE LOG'!$K$8:$K$107,K$6,'MAINTENANCE LOG'!$H$8:$H$107,$B31))</f>
        <v>0</v>
      </c>
      <c r="O31" s="61"/>
      <c r="P31" s="62" t="str">
        <f>IF($O31="","",IF($O31="O",0,'SETUP &amp; TARGETS'!$C$28))</f>
        <v/>
      </c>
      <c r="Q31" s="35"/>
      <c r="R31" s="63">
        <f>IF($B31="","",SUMIFS('MAINTENANCE LOG'!$R$8:$R$107,'MAINTENANCE LOG'!$J$8:$J$107,O$6,'MAINTENANCE LOG'!$H$8:$H$107,$B31)+SUMIFS('MAINTENANCE LOG'!$R$8:$R$107,'MAINTENANCE LOG'!$K$8:$K$107,O$6,'MAINTENANCE LOG'!$H$8:$H$107,$B31))</f>
        <v>0</v>
      </c>
    </row>
    <row r="32" spans="2:18" x14ac:dyDescent="0.3">
      <c r="B32" s="60">
        <f>'CRT220'!B31</f>
        <v>46290</v>
      </c>
      <c r="C32" s="61"/>
      <c r="D32" s="62" t="str">
        <f>IF($C32="","",IF($C32="O",0,'SETUP &amp; TARGETS'!$C$28))</f>
        <v/>
      </c>
      <c r="E32" s="35"/>
      <c r="F32" s="63">
        <f>IF($B32="","",SUMIFS('MAINTENANCE LOG'!$R$8:$R$107,'MAINTENANCE LOG'!$J$8:$J$107,C$6,'MAINTENANCE LOG'!$H$8:$H$107,$B32)+SUMIFS('MAINTENANCE LOG'!$R$8:$R$107,'MAINTENANCE LOG'!$K$8:$K$107,C$6,'MAINTENANCE LOG'!$H$8:$H$107,$B32))</f>
        <v>0</v>
      </c>
      <c r="G32" s="61"/>
      <c r="H32" s="62" t="str">
        <f>IF($G32="","",IF($G32="O",0,'SETUP &amp; TARGETS'!$C$28))</f>
        <v/>
      </c>
      <c r="I32" s="35"/>
      <c r="J32" s="63">
        <f>IF($B32="","",SUMIFS('MAINTENANCE LOG'!$R$8:$R$107,'MAINTENANCE LOG'!$J$8:$J$107,G$6,'MAINTENANCE LOG'!$H$8:$H$107,$B32)+SUMIFS('MAINTENANCE LOG'!$R$8:$R$107,'MAINTENANCE LOG'!$K$8:$K$107,G$6,'MAINTENANCE LOG'!$H$8:$H$107,$B32))</f>
        <v>0</v>
      </c>
      <c r="K32" s="61"/>
      <c r="L32" s="62" t="str">
        <f>IF($K32="","",IF($K32="O",0,'SETUP &amp; TARGETS'!$C$28))</f>
        <v/>
      </c>
      <c r="M32" s="35"/>
      <c r="N32" s="63">
        <f>IF($B32="","",SUMIFS('MAINTENANCE LOG'!$R$8:$R$107,'MAINTENANCE LOG'!$J$8:$J$107,K$6,'MAINTENANCE LOG'!$H$8:$H$107,$B32)+SUMIFS('MAINTENANCE LOG'!$R$8:$R$107,'MAINTENANCE LOG'!$K$8:$K$107,K$6,'MAINTENANCE LOG'!$H$8:$H$107,$B32))</f>
        <v>0</v>
      </c>
      <c r="O32" s="61"/>
      <c r="P32" s="62" t="str">
        <f>IF($O32="","",IF($O32="O",0,'SETUP &amp; TARGETS'!$C$28))</f>
        <v/>
      </c>
      <c r="Q32" s="35"/>
      <c r="R32" s="63">
        <f>IF($B32="","",SUMIFS('MAINTENANCE LOG'!$R$8:$R$107,'MAINTENANCE LOG'!$J$8:$J$107,O$6,'MAINTENANCE LOG'!$H$8:$H$107,$B32)+SUMIFS('MAINTENANCE LOG'!$R$8:$R$107,'MAINTENANCE LOG'!$K$8:$K$107,O$6,'MAINTENANCE LOG'!$H$8:$H$107,$B32))</f>
        <v>0</v>
      </c>
    </row>
    <row r="33" spans="2:18" x14ac:dyDescent="0.3">
      <c r="B33" s="60">
        <f>'CRT220'!B32</f>
        <v>46291</v>
      </c>
      <c r="C33" s="61"/>
      <c r="D33" s="62" t="str">
        <f>IF($C33="","",IF($C33="O",0,'SETUP &amp; TARGETS'!$C$28))</f>
        <v/>
      </c>
      <c r="E33" s="35"/>
      <c r="F33" s="63">
        <f>IF($B33="","",SUMIFS('MAINTENANCE LOG'!$R$8:$R$107,'MAINTENANCE LOG'!$J$8:$J$107,C$6,'MAINTENANCE LOG'!$H$8:$H$107,$B33)+SUMIFS('MAINTENANCE LOG'!$R$8:$R$107,'MAINTENANCE LOG'!$K$8:$K$107,C$6,'MAINTENANCE LOG'!$H$8:$H$107,$B33))</f>
        <v>0</v>
      </c>
      <c r="G33" s="61"/>
      <c r="H33" s="62" t="str">
        <f>IF($G33="","",IF($G33="O",0,'SETUP &amp; TARGETS'!$C$28))</f>
        <v/>
      </c>
      <c r="I33" s="35"/>
      <c r="J33" s="63">
        <f>IF($B33="","",SUMIFS('MAINTENANCE LOG'!$R$8:$R$107,'MAINTENANCE LOG'!$J$8:$J$107,G$6,'MAINTENANCE LOG'!$H$8:$H$107,$B33)+SUMIFS('MAINTENANCE LOG'!$R$8:$R$107,'MAINTENANCE LOG'!$K$8:$K$107,G$6,'MAINTENANCE LOG'!$H$8:$H$107,$B33))</f>
        <v>0</v>
      </c>
      <c r="K33" s="61"/>
      <c r="L33" s="62" t="str">
        <f>IF($K33="","",IF($K33="O",0,'SETUP &amp; TARGETS'!$C$28))</f>
        <v/>
      </c>
      <c r="M33" s="35"/>
      <c r="N33" s="63">
        <f>IF($B33="","",SUMIFS('MAINTENANCE LOG'!$R$8:$R$107,'MAINTENANCE LOG'!$J$8:$J$107,K$6,'MAINTENANCE LOG'!$H$8:$H$107,$B33)+SUMIFS('MAINTENANCE LOG'!$R$8:$R$107,'MAINTENANCE LOG'!$K$8:$K$107,K$6,'MAINTENANCE LOG'!$H$8:$H$107,$B33))</f>
        <v>0</v>
      </c>
      <c r="O33" s="61"/>
      <c r="P33" s="62" t="str">
        <f>IF($O33="","",IF($O33="O",0,'SETUP &amp; TARGETS'!$C$28))</f>
        <v/>
      </c>
      <c r="Q33" s="35"/>
      <c r="R33" s="63">
        <f>IF($B33="","",SUMIFS('MAINTENANCE LOG'!$R$8:$R$107,'MAINTENANCE LOG'!$J$8:$J$107,O$6,'MAINTENANCE LOG'!$H$8:$H$107,$B33)+SUMIFS('MAINTENANCE LOG'!$R$8:$R$107,'MAINTENANCE LOG'!$K$8:$K$107,O$6,'MAINTENANCE LOG'!$H$8:$H$107,$B33))</f>
        <v>0</v>
      </c>
    </row>
    <row r="34" spans="2:18" x14ac:dyDescent="0.3">
      <c r="B34" s="60">
        <f>'CRT220'!B33</f>
        <v>46292</v>
      </c>
      <c r="C34" s="61"/>
      <c r="D34" s="62" t="str">
        <f>IF($C34="","",IF($C34="O",0,'SETUP &amp; TARGETS'!$C$28))</f>
        <v/>
      </c>
      <c r="E34" s="35"/>
      <c r="F34" s="63">
        <f>IF($B34="","",SUMIFS('MAINTENANCE LOG'!$R$8:$R$107,'MAINTENANCE LOG'!$J$8:$J$107,C$6,'MAINTENANCE LOG'!$H$8:$H$107,$B34)+SUMIFS('MAINTENANCE LOG'!$R$8:$R$107,'MAINTENANCE LOG'!$K$8:$K$107,C$6,'MAINTENANCE LOG'!$H$8:$H$107,$B34))</f>
        <v>0</v>
      </c>
      <c r="G34" s="61"/>
      <c r="H34" s="62" t="str">
        <f>IF($G34="","",IF($G34="O",0,'SETUP &amp; TARGETS'!$C$28))</f>
        <v/>
      </c>
      <c r="I34" s="35"/>
      <c r="J34" s="63">
        <f>IF($B34="","",SUMIFS('MAINTENANCE LOG'!$R$8:$R$107,'MAINTENANCE LOG'!$J$8:$J$107,G$6,'MAINTENANCE LOG'!$H$8:$H$107,$B34)+SUMIFS('MAINTENANCE LOG'!$R$8:$R$107,'MAINTENANCE LOG'!$K$8:$K$107,G$6,'MAINTENANCE LOG'!$H$8:$H$107,$B34))</f>
        <v>0</v>
      </c>
      <c r="K34" s="61"/>
      <c r="L34" s="62" t="str">
        <f>IF($K34="","",IF($K34="O",0,'SETUP &amp; TARGETS'!$C$28))</f>
        <v/>
      </c>
      <c r="M34" s="35"/>
      <c r="N34" s="63">
        <f>IF($B34="","",SUMIFS('MAINTENANCE LOG'!$R$8:$R$107,'MAINTENANCE LOG'!$J$8:$J$107,K$6,'MAINTENANCE LOG'!$H$8:$H$107,$B34)+SUMIFS('MAINTENANCE LOG'!$R$8:$R$107,'MAINTENANCE LOG'!$K$8:$K$107,K$6,'MAINTENANCE LOG'!$H$8:$H$107,$B34))</f>
        <v>0</v>
      </c>
      <c r="O34" s="61"/>
      <c r="P34" s="62" t="str">
        <f>IF($O34="","",IF($O34="O",0,'SETUP &amp; TARGETS'!$C$28))</f>
        <v/>
      </c>
      <c r="Q34" s="35"/>
      <c r="R34" s="63">
        <f>IF($B34="","",SUMIFS('MAINTENANCE LOG'!$R$8:$R$107,'MAINTENANCE LOG'!$J$8:$J$107,O$6,'MAINTENANCE LOG'!$H$8:$H$107,$B34)+SUMIFS('MAINTENANCE LOG'!$R$8:$R$107,'MAINTENANCE LOG'!$K$8:$K$107,O$6,'MAINTENANCE LOG'!$H$8:$H$107,$B34))</f>
        <v>0</v>
      </c>
    </row>
    <row r="35" spans="2:18" x14ac:dyDescent="0.3">
      <c r="B35" s="60">
        <f>'CRT220'!B34</f>
        <v>46293</v>
      </c>
      <c r="C35" s="61"/>
      <c r="D35" s="62" t="str">
        <f>IF($C35="","",IF($C35="O",0,'SETUP &amp; TARGETS'!$C$28))</f>
        <v/>
      </c>
      <c r="E35" s="35"/>
      <c r="F35" s="63">
        <f>IF($B35="","",SUMIFS('MAINTENANCE LOG'!$R$8:$R$107,'MAINTENANCE LOG'!$J$8:$J$107,C$6,'MAINTENANCE LOG'!$H$8:$H$107,$B35)+SUMIFS('MAINTENANCE LOG'!$R$8:$R$107,'MAINTENANCE LOG'!$K$8:$K$107,C$6,'MAINTENANCE LOG'!$H$8:$H$107,$B35))</f>
        <v>0</v>
      </c>
      <c r="G35" s="61"/>
      <c r="H35" s="62" t="str">
        <f>IF($G35="","",IF($G35="O",0,'SETUP &amp; TARGETS'!$C$28))</f>
        <v/>
      </c>
      <c r="I35" s="35"/>
      <c r="J35" s="63">
        <f>IF($B35="","",SUMIFS('MAINTENANCE LOG'!$R$8:$R$107,'MAINTENANCE LOG'!$J$8:$J$107,G$6,'MAINTENANCE LOG'!$H$8:$H$107,$B35)+SUMIFS('MAINTENANCE LOG'!$R$8:$R$107,'MAINTENANCE LOG'!$K$8:$K$107,G$6,'MAINTENANCE LOG'!$H$8:$H$107,$B35))</f>
        <v>0</v>
      </c>
      <c r="K35" s="61"/>
      <c r="L35" s="62" t="str">
        <f>IF($K35="","",IF($K35="O",0,'SETUP &amp; TARGETS'!$C$28))</f>
        <v/>
      </c>
      <c r="M35" s="35"/>
      <c r="N35" s="63">
        <f>IF($B35="","",SUMIFS('MAINTENANCE LOG'!$R$8:$R$107,'MAINTENANCE LOG'!$J$8:$J$107,K$6,'MAINTENANCE LOG'!$H$8:$H$107,$B35)+SUMIFS('MAINTENANCE LOG'!$R$8:$R$107,'MAINTENANCE LOG'!$K$8:$K$107,K$6,'MAINTENANCE LOG'!$H$8:$H$107,$B35))</f>
        <v>0</v>
      </c>
      <c r="O35" s="61"/>
      <c r="P35" s="62" t="str">
        <f>IF($O35="","",IF($O35="O",0,'SETUP &amp; TARGETS'!$C$28))</f>
        <v/>
      </c>
      <c r="Q35" s="35"/>
      <c r="R35" s="63">
        <f>IF($B35="","",SUMIFS('MAINTENANCE LOG'!$R$8:$R$107,'MAINTENANCE LOG'!$J$8:$J$107,O$6,'MAINTENANCE LOG'!$H$8:$H$107,$B35)+SUMIFS('MAINTENANCE LOG'!$R$8:$R$107,'MAINTENANCE LOG'!$K$8:$K$107,O$6,'MAINTENANCE LOG'!$H$8:$H$107,$B35))</f>
        <v>0</v>
      </c>
    </row>
    <row r="36" spans="2:18" x14ac:dyDescent="0.3">
      <c r="B36" s="60">
        <f>'CRT220'!B35</f>
        <v>46294</v>
      </c>
      <c r="C36" s="61"/>
      <c r="D36" s="62" t="str">
        <f>IF($C36="","",IF($C36="O",0,'SETUP &amp; TARGETS'!$C$28))</f>
        <v/>
      </c>
      <c r="E36" s="35"/>
      <c r="F36" s="63">
        <f>IF($B36="","",SUMIFS('MAINTENANCE LOG'!$R$8:$R$107,'MAINTENANCE LOG'!$J$8:$J$107,C$6,'MAINTENANCE LOG'!$H$8:$H$107,$B36)+SUMIFS('MAINTENANCE LOG'!$R$8:$R$107,'MAINTENANCE LOG'!$K$8:$K$107,C$6,'MAINTENANCE LOG'!$H$8:$H$107,$B36))</f>
        <v>0</v>
      </c>
      <c r="G36" s="61"/>
      <c r="H36" s="62" t="str">
        <f>IF($G36="","",IF($G36="O",0,'SETUP &amp; TARGETS'!$C$28))</f>
        <v/>
      </c>
      <c r="I36" s="35"/>
      <c r="J36" s="63">
        <f>IF($B36="","",SUMIFS('MAINTENANCE LOG'!$R$8:$R$107,'MAINTENANCE LOG'!$J$8:$J$107,G$6,'MAINTENANCE LOG'!$H$8:$H$107,$B36)+SUMIFS('MAINTENANCE LOG'!$R$8:$R$107,'MAINTENANCE LOG'!$K$8:$K$107,G$6,'MAINTENANCE LOG'!$H$8:$H$107,$B36))</f>
        <v>0</v>
      </c>
      <c r="K36" s="61"/>
      <c r="L36" s="62" t="str">
        <f>IF($K36="","",IF($K36="O",0,'SETUP &amp; TARGETS'!$C$28))</f>
        <v/>
      </c>
      <c r="M36" s="35"/>
      <c r="N36" s="63">
        <f>IF($B36="","",SUMIFS('MAINTENANCE LOG'!$R$8:$R$107,'MAINTENANCE LOG'!$J$8:$J$107,K$6,'MAINTENANCE LOG'!$H$8:$H$107,$B36)+SUMIFS('MAINTENANCE LOG'!$R$8:$R$107,'MAINTENANCE LOG'!$K$8:$K$107,K$6,'MAINTENANCE LOG'!$H$8:$H$107,$B36))</f>
        <v>0</v>
      </c>
      <c r="O36" s="61"/>
      <c r="P36" s="62" t="str">
        <f>IF($O36="","",IF($O36="O",0,'SETUP &amp; TARGETS'!$C$28))</f>
        <v/>
      </c>
      <c r="Q36" s="35"/>
      <c r="R36" s="63">
        <f>IF($B36="","",SUMIFS('MAINTENANCE LOG'!$R$8:$R$107,'MAINTENANCE LOG'!$J$8:$J$107,O$6,'MAINTENANCE LOG'!$H$8:$H$107,$B36)+SUMIFS('MAINTENANCE LOG'!$R$8:$R$107,'MAINTENANCE LOG'!$K$8:$K$107,O$6,'MAINTENANCE LOG'!$H$8:$H$107,$B36))</f>
        <v>0</v>
      </c>
    </row>
    <row r="37" spans="2:18" x14ac:dyDescent="0.3">
      <c r="B37" s="60">
        <f>'CRT220'!B36</f>
        <v>46295</v>
      </c>
      <c r="C37" s="61"/>
      <c r="D37" s="62" t="str">
        <f>IF($C37="","",IF($C37="O",0,'SETUP &amp; TARGETS'!$C$28))</f>
        <v/>
      </c>
      <c r="E37" s="35"/>
      <c r="F37" s="63">
        <f>IF($B37="","",SUMIFS('MAINTENANCE LOG'!$R$8:$R$107,'MAINTENANCE LOG'!$J$8:$J$107,C$6,'MAINTENANCE LOG'!$H$8:$H$107,$B37)+SUMIFS('MAINTENANCE LOG'!$R$8:$R$107,'MAINTENANCE LOG'!$K$8:$K$107,C$6,'MAINTENANCE LOG'!$H$8:$H$107,$B37))</f>
        <v>0</v>
      </c>
      <c r="G37" s="61"/>
      <c r="H37" s="62" t="str">
        <f>IF($G37="","",IF($G37="O",0,'SETUP &amp; TARGETS'!$C$28))</f>
        <v/>
      </c>
      <c r="I37" s="35"/>
      <c r="J37" s="63">
        <f>IF($B37="","",SUMIFS('MAINTENANCE LOG'!$R$8:$R$107,'MAINTENANCE LOG'!$J$8:$J$107,G$6,'MAINTENANCE LOG'!$H$8:$H$107,$B37)+SUMIFS('MAINTENANCE LOG'!$R$8:$R$107,'MAINTENANCE LOG'!$K$8:$K$107,G$6,'MAINTENANCE LOG'!$H$8:$H$107,$B37))</f>
        <v>0</v>
      </c>
      <c r="K37" s="61"/>
      <c r="L37" s="62" t="str">
        <f>IF($K37="","",IF($K37="O",0,'SETUP &amp; TARGETS'!$C$28))</f>
        <v/>
      </c>
      <c r="M37" s="35"/>
      <c r="N37" s="63">
        <f>IF($B37="","",SUMIFS('MAINTENANCE LOG'!$R$8:$R$107,'MAINTENANCE LOG'!$J$8:$J$107,K$6,'MAINTENANCE LOG'!$H$8:$H$107,$B37)+SUMIFS('MAINTENANCE LOG'!$R$8:$R$107,'MAINTENANCE LOG'!$K$8:$K$107,K$6,'MAINTENANCE LOG'!$H$8:$H$107,$B37))</f>
        <v>0</v>
      </c>
      <c r="O37" s="61"/>
      <c r="P37" s="62" t="str">
        <f>IF($O37="","",IF($O37="O",0,'SETUP &amp; TARGETS'!$C$28))</f>
        <v/>
      </c>
      <c r="Q37" s="35"/>
      <c r="R37" s="63">
        <f>IF($B37="","",SUMIFS('MAINTENANCE LOG'!$R$8:$R$107,'MAINTENANCE LOG'!$J$8:$J$107,O$6,'MAINTENANCE LOG'!$H$8:$H$107,$B37)+SUMIFS('MAINTENANCE LOG'!$R$8:$R$107,'MAINTENANCE LOG'!$K$8:$K$107,O$6,'MAINTENANCE LOG'!$H$8:$H$107,$B37))</f>
        <v>0</v>
      </c>
    </row>
    <row r="38" spans="2:18" x14ac:dyDescent="0.3">
      <c r="B38" s="60">
        <f>'CRT220'!B37</f>
        <v>0</v>
      </c>
      <c r="C38" s="61"/>
      <c r="D38" s="62" t="str">
        <f>IF($C38="","",IF($C38="O",0,'SETUP &amp; TARGETS'!$C$28))</f>
        <v/>
      </c>
      <c r="E38" s="35"/>
      <c r="F38" s="63">
        <f>IF($B38="","",SUMIFS('MAINTENANCE LOG'!$R$8:$R$107,'MAINTENANCE LOG'!$J$8:$J$107,C$6,'MAINTENANCE LOG'!$H$8:$H$107,$B38)+SUMIFS('MAINTENANCE LOG'!$R$8:$R$107,'MAINTENANCE LOG'!$K$8:$K$107,C$6,'MAINTENANCE LOG'!$H$8:$H$107,$B38))</f>
        <v>0</v>
      </c>
      <c r="G38" s="61"/>
      <c r="H38" s="62" t="str">
        <f>IF($G38="","",IF($G38="O",0,'SETUP &amp; TARGETS'!$C$28))</f>
        <v/>
      </c>
      <c r="I38" s="35"/>
      <c r="J38" s="63">
        <f>IF($B38="","",SUMIFS('MAINTENANCE LOG'!$R$8:$R$107,'MAINTENANCE LOG'!$J$8:$J$107,G$6,'MAINTENANCE LOG'!$H$8:$H$107,$B38)+SUMIFS('MAINTENANCE LOG'!$R$8:$R$107,'MAINTENANCE LOG'!$K$8:$K$107,G$6,'MAINTENANCE LOG'!$H$8:$H$107,$B38))</f>
        <v>0</v>
      </c>
      <c r="K38" s="61"/>
      <c r="L38" s="62" t="str">
        <f>IF($K38="","",IF($K38="O",0,'SETUP &amp; TARGETS'!$C$28))</f>
        <v/>
      </c>
      <c r="M38" s="35"/>
      <c r="N38" s="63">
        <f>IF($B38="","",SUMIFS('MAINTENANCE LOG'!$R$8:$R$107,'MAINTENANCE LOG'!$J$8:$J$107,K$6,'MAINTENANCE LOG'!$H$8:$H$107,$B38)+SUMIFS('MAINTENANCE LOG'!$R$8:$R$107,'MAINTENANCE LOG'!$K$8:$K$107,K$6,'MAINTENANCE LOG'!$H$8:$H$107,$B38))</f>
        <v>0</v>
      </c>
      <c r="O38" s="61"/>
      <c r="P38" s="62" t="str">
        <f>IF($O38="","",IF($O38="O",0,'SETUP &amp; TARGETS'!$C$28))</f>
        <v/>
      </c>
      <c r="Q38" s="35"/>
      <c r="R38" s="63">
        <f>IF($B38="","",SUMIFS('MAINTENANCE LOG'!$R$8:$R$107,'MAINTENANCE LOG'!$J$8:$J$107,O$6,'MAINTENANCE LOG'!$H$8:$H$107,$B38)+SUMIFS('MAINTENANCE LOG'!$R$8:$R$107,'MAINTENANCE LOG'!$K$8:$K$107,O$6,'MAINTENANCE LOG'!$H$8:$H$107,$B38))</f>
        <v>0</v>
      </c>
    </row>
    <row r="39" spans="2:18" x14ac:dyDescent="0.3">
      <c r="B39" s="39" t="s">
        <v>177</v>
      </c>
      <c r="C39" s="64">
        <f>COUNTIF(C8:C38,"D")+COUNTIF(C8:C38,"N")</f>
        <v>0</v>
      </c>
      <c r="D39" s="65">
        <f>SUM(D8:D38)</f>
        <v>0</v>
      </c>
      <c r="E39" s="65">
        <f>SUM(E8:E38)</f>
        <v>0</v>
      </c>
      <c r="F39" s="65">
        <f>SUM(F8:F38)</f>
        <v>132</v>
      </c>
      <c r="G39" s="64">
        <f>COUNTIF(G8:G38,"D")+COUNTIF(G8:G38,"N")</f>
        <v>0</v>
      </c>
      <c r="H39" s="65">
        <f>SUM(H8:H38)</f>
        <v>0</v>
      </c>
      <c r="I39" s="65">
        <f>SUM(I8:I38)</f>
        <v>0</v>
      </c>
      <c r="J39" s="65">
        <f>SUM(J8:J38)</f>
        <v>0</v>
      </c>
      <c r="K39" s="64">
        <f>COUNTIF(K8:K38,"D")+COUNTIF(K8:K38,"N")</f>
        <v>0</v>
      </c>
      <c r="L39" s="65">
        <f>SUM(L8:L38)</f>
        <v>0</v>
      </c>
      <c r="M39" s="65">
        <f>SUM(M8:M38)</f>
        <v>0</v>
      </c>
      <c r="N39" s="65">
        <f>SUM(N8:N38)</f>
        <v>132</v>
      </c>
      <c r="O39" s="64">
        <f>COUNTIF(O8:O38,"D")+COUNTIF(O8:O38,"N")</f>
        <v>0</v>
      </c>
      <c r="P39" s="65">
        <f>SUM(P8:P38)</f>
        <v>0</v>
      </c>
      <c r="Q39" s="65">
        <f>SUM(Q8:Q38)</f>
        <v>0</v>
      </c>
      <c r="R39" s="65">
        <f>SUM(R8:R38)</f>
        <v>0</v>
      </c>
    </row>
    <row r="40" spans="2:18" x14ac:dyDescent="0.3">
      <c r="B40" s="31" t="s">
        <v>201</v>
      </c>
    </row>
    <row r="42" spans="2:18" x14ac:dyDescent="0.3">
      <c r="B42" s="30" t="s">
        <v>202</v>
      </c>
      <c r="C42" s="1"/>
      <c r="E42" s="1"/>
      <c r="G42" s="1"/>
      <c r="I42" s="1"/>
    </row>
    <row r="43" spans="2:18" x14ac:dyDescent="0.3">
      <c r="B43" s="2" t="s">
        <v>159</v>
      </c>
      <c r="C43" s="101" t="s">
        <v>203</v>
      </c>
      <c r="D43" s="101"/>
      <c r="E43" s="101" t="s">
        <v>204</v>
      </c>
      <c r="F43" s="101"/>
      <c r="G43" s="100"/>
      <c r="H43" s="100"/>
      <c r="I43" s="100"/>
      <c r="J43" s="100"/>
    </row>
    <row r="44" spans="2:18" x14ac:dyDescent="0.3">
      <c r="B44" s="66">
        <v>1</v>
      </c>
      <c r="C44" s="99" t="s">
        <v>205</v>
      </c>
      <c r="D44" s="99"/>
      <c r="E44" s="99" t="s">
        <v>206</v>
      </c>
      <c r="F44" s="99"/>
      <c r="G44" s="100"/>
      <c r="H44" s="100"/>
      <c r="I44" s="100"/>
      <c r="J44" s="100"/>
    </row>
    <row r="45" spans="2:18" x14ac:dyDescent="0.3">
      <c r="B45" s="66">
        <v>2</v>
      </c>
      <c r="C45" s="99" t="s">
        <v>205</v>
      </c>
      <c r="D45" s="99"/>
      <c r="E45" s="99" t="s">
        <v>206</v>
      </c>
      <c r="F45" s="99"/>
      <c r="G45" s="100"/>
      <c r="H45" s="100"/>
      <c r="I45" s="100"/>
      <c r="J45" s="100"/>
    </row>
    <row r="46" spans="2:18" x14ac:dyDescent="0.3">
      <c r="B46" s="66">
        <v>3</v>
      </c>
      <c r="C46" s="99" t="s">
        <v>205</v>
      </c>
      <c r="D46" s="99"/>
      <c r="E46" s="99" t="s">
        <v>206</v>
      </c>
      <c r="F46" s="99"/>
      <c r="G46" s="100"/>
      <c r="H46" s="100"/>
      <c r="I46" s="100"/>
      <c r="J46" s="100"/>
    </row>
    <row r="47" spans="2:18" x14ac:dyDescent="0.3">
      <c r="B47" s="66">
        <v>4</v>
      </c>
      <c r="C47" s="99" t="s">
        <v>205</v>
      </c>
      <c r="D47" s="99"/>
      <c r="E47" s="99" t="s">
        <v>207</v>
      </c>
      <c r="F47" s="99"/>
      <c r="G47" s="100"/>
      <c r="H47" s="100"/>
      <c r="I47" s="100"/>
      <c r="J47" s="100"/>
    </row>
    <row r="48" spans="2:18" x14ac:dyDescent="0.3">
      <c r="B48" s="66">
        <v>5</v>
      </c>
      <c r="C48" s="99"/>
      <c r="D48" s="99"/>
      <c r="E48" s="99" t="s">
        <v>207</v>
      </c>
      <c r="F48" s="99"/>
      <c r="G48" s="100"/>
      <c r="H48" s="100"/>
      <c r="I48" s="100"/>
      <c r="J48" s="100"/>
    </row>
    <row r="49" spans="2:10" x14ac:dyDescent="0.3">
      <c r="B49" s="66">
        <v>6</v>
      </c>
      <c r="C49" s="99"/>
      <c r="D49" s="99"/>
      <c r="E49" s="99" t="s">
        <v>207</v>
      </c>
      <c r="F49" s="99"/>
      <c r="G49" s="100"/>
      <c r="H49" s="100"/>
      <c r="I49" s="100"/>
      <c r="J49" s="100"/>
    </row>
    <row r="50" spans="2:10" x14ac:dyDescent="0.3">
      <c r="B50" s="66">
        <v>7</v>
      </c>
      <c r="C50" s="99" t="s">
        <v>205</v>
      </c>
      <c r="D50" s="99"/>
      <c r="E50" s="99" t="s">
        <v>208</v>
      </c>
      <c r="F50" s="99"/>
      <c r="G50" s="100"/>
      <c r="H50" s="100"/>
      <c r="I50" s="100"/>
      <c r="J50" s="100"/>
    </row>
    <row r="51" spans="2:10" x14ac:dyDescent="0.3">
      <c r="B51" s="66">
        <v>8</v>
      </c>
      <c r="C51" s="99" t="s">
        <v>205</v>
      </c>
      <c r="D51" s="99"/>
      <c r="E51" s="99" t="s">
        <v>208</v>
      </c>
      <c r="F51" s="99"/>
      <c r="G51" s="100"/>
      <c r="H51" s="100"/>
      <c r="I51" s="100"/>
      <c r="J51" s="100"/>
    </row>
    <row r="52" spans="2:10" x14ac:dyDescent="0.3">
      <c r="B52" s="66">
        <v>9</v>
      </c>
      <c r="C52" s="99" t="s">
        <v>205</v>
      </c>
      <c r="D52" s="99"/>
      <c r="E52" s="99" t="s">
        <v>208</v>
      </c>
      <c r="F52" s="99"/>
      <c r="G52" s="100"/>
      <c r="H52" s="100"/>
      <c r="I52" s="100"/>
      <c r="J52" s="100"/>
    </row>
    <row r="54" spans="2:10" x14ac:dyDescent="0.3">
      <c r="B54" s="31" t="s">
        <v>209</v>
      </c>
    </row>
  </sheetData>
  <sheetProtection sheet="1" objects="1" scenarios="1"/>
  <protectedRanges>
    <protectedRange sqref="C8:C38 E8:E38 G8:G38 I8:I38 K8:K38 M8:M38 O8:O38 Q8:Q38" name="Range1"/>
  </protectedRanges>
  <mergeCells count="45">
    <mergeCell ref="B6:B7"/>
    <mergeCell ref="C6:F6"/>
    <mergeCell ref="G6:J6"/>
    <mergeCell ref="K6:N6"/>
    <mergeCell ref="O6:R6"/>
    <mergeCell ref="C43:D43"/>
    <mergeCell ref="E43:F43"/>
    <mergeCell ref="G43:H43"/>
    <mergeCell ref="I43:J43"/>
    <mergeCell ref="C44:D44"/>
    <mergeCell ref="E44:F44"/>
    <mergeCell ref="G44:H44"/>
    <mergeCell ref="I44:J44"/>
    <mergeCell ref="C45:D45"/>
    <mergeCell ref="E45:F45"/>
    <mergeCell ref="G45:H45"/>
    <mergeCell ref="I45:J45"/>
    <mergeCell ref="C46:D46"/>
    <mergeCell ref="E46:F46"/>
    <mergeCell ref="G46:H46"/>
    <mergeCell ref="I46:J46"/>
    <mergeCell ref="C47:D47"/>
    <mergeCell ref="E47:F47"/>
    <mergeCell ref="G47:H47"/>
    <mergeCell ref="I47:J47"/>
    <mergeCell ref="C48:D48"/>
    <mergeCell ref="E48:F48"/>
    <mergeCell ref="G48:H48"/>
    <mergeCell ref="I48:J48"/>
    <mergeCell ref="C49:D49"/>
    <mergeCell ref="E49:F49"/>
    <mergeCell ref="G49:H49"/>
    <mergeCell ref="I49:J49"/>
    <mergeCell ref="C50:D50"/>
    <mergeCell ref="E50:F50"/>
    <mergeCell ref="G50:H50"/>
    <mergeCell ref="I50:J50"/>
    <mergeCell ref="C51:D51"/>
    <mergeCell ref="E51:F51"/>
    <mergeCell ref="G51:H51"/>
    <mergeCell ref="I51:J51"/>
    <mergeCell ref="C52:D52"/>
    <mergeCell ref="E52:F52"/>
    <mergeCell ref="G52:H52"/>
    <mergeCell ref="I52:J52"/>
  </mergeCells>
  <dataValidations count="1">
    <dataValidation type="list" allowBlank="1" sqref="C8:C38 O8:O38 K8:K38 G8:G38" xr:uid="{00000000-0002-0000-0900-000000000000}">
      <formula1>"D,N,O"</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C107"/>
  <sheetViews>
    <sheetView showGridLines="0" zoomScaleNormal="100" workbookViewId="0">
      <pane xSplit="3" ySplit="7" topLeftCell="Q8" activePane="bottomRight" state="frozen"/>
      <selection pane="topRight" activeCell="D1" sqref="D1"/>
      <selection pane="bottomLeft" activeCell="A8" sqref="A8"/>
      <selection pane="bottomRight" activeCell="AC8" sqref="AC8"/>
    </sheetView>
  </sheetViews>
  <sheetFormatPr defaultColWidth="8.6640625" defaultRowHeight="14.4" x14ac:dyDescent="0.3"/>
  <cols>
    <col min="1" max="1" width="3.77734375" customWidth="1"/>
    <col min="2" max="2" width="10" customWidth="1"/>
    <col min="3" max="3" width="28.88671875" customWidth="1"/>
    <col min="4" max="4" width="17" customWidth="1"/>
    <col min="5" max="5" width="16" customWidth="1"/>
    <col min="6" max="6" width="15" customWidth="1"/>
    <col min="7" max="7" width="40" customWidth="1"/>
    <col min="8" max="8" width="11" customWidth="1"/>
    <col min="9" max="9" width="8" customWidth="1"/>
    <col min="10" max="11" width="20" customWidth="1"/>
    <col min="12" max="14" width="14" customWidth="1"/>
    <col min="15" max="15" width="9" customWidth="1"/>
    <col min="16" max="16" width="15" customWidth="1"/>
    <col min="17" max="17" width="14" customWidth="1"/>
    <col min="18" max="18" width="9" customWidth="1"/>
    <col min="19" max="20" width="10" customWidth="1"/>
    <col min="21" max="21" width="11" customWidth="1"/>
    <col min="22" max="22" width="10" customWidth="1"/>
    <col min="23" max="24" width="11" customWidth="1"/>
    <col min="25" max="25" width="15" customWidth="1"/>
    <col min="26" max="26" width="12" customWidth="1"/>
    <col min="27" max="27" width="10" customWidth="1"/>
    <col min="28" max="28" width="8" customWidth="1"/>
    <col min="29" max="29" width="34" customWidth="1"/>
  </cols>
  <sheetData>
    <row r="2" spans="2:29" ht="18" x14ac:dyDescent="0.35">
      <c r="B2" s="58" t="s">
        <v>250</v>
      </c>
    </row>
    <row r="3" spans="2:29" x14ac:dyDescent="0.3">
      <c r="B3" s="59" t="s">
        <v>43</v>
      </c>
    </row>
    <row r="4" spans="2:29" x14ac:dyDescent="0.3">
      <c r="B4" s="31" t="s">
        <v>251</v>
      </c>
    </row>
    <row r="6" spans="2:29" ht="33.75" customHeight="1" x14ac:dyDescent="0.3">
      <c r="B6" s="2" t="s">
        <v>252</v>
      </c>
      <c r="C6" s="2" t="s">
        <v>212</v>
      </c>
      <c r="D6" s="2" t="s">
        <v>213</v>
      </c>
      <c r="E6" s="2" t="s">
        <v>253</v>
      </c>
      <c r="F6" s="2" t="s">
        <v>254</v>
      </c>
      <c r="G6" s="2" t="s">
        <v>255</v>
      </c>
      <c r="H6" s="2" t="s">
        <v>159</v>
      </c>
      <c r="I6" s="2" t="s">
        <v>197</v>
      </c>
      <c r="J6" s="2" t="s">
        <v>256</v>
      </c>
      <c r="K6" s="2" t="s">
        <v>257</v>
      </c>
      <c r="L6" s="2" t="s">
        <v>258</v>
      </c>
      <c r="M6" s="2" t="s">
        <v>259</v>
      </c>
      <c r="N6" s="2" t="s">
        <v>260</v>
      </c>
      <c r="O6" s="2" t="s">
        <v>86</v>
      </c>
      <c r="P6" s="2" t="s">
        <v>261</v>
      </c>
      <c r="Q6" s="2" t="s">
        <v>262</v>
      </c>
      <c r="R6" s="2" t="s">
        <v>263</v>
      </c>
      <c r="S6" s="2" t="s">
        <v>264</v>
      </c>
      <c r="T6" s="2" t="s">
        <v>265</v>
      </c>
      <c r="U6" s="2" t="s">
        <v>266</v>
      </c>
      <c r="V6" s="2" t="s">
        <v>267</v>
      </c>
      <c r="W6" s="2" t="s">
        <v>268</v>
      </c>
      <c r="X6" s="2" t="s">
        <v>269</v>
      </c>
      <c r="Y6" s="2" t="s">
        <v>270</v>
      </c>
      <c r="Z6" s="2" t="s">
        <v>56</v>
      </c>
      <c r="AA6" s="2" t="s">
        <v>271</v>
      </c>
      <c r="AB6" s="2" t="s">
        <v>95</v>
      </c>
      <c r="AC6" s="2" t="s">
        <v>272</v>
      </c>
    </row>
    <row r="7" spans="2:29" x14ac:dyDescent="0.3">
      <c r="B7" s="31" t="s">
        <v>273</v>
      </c>
    </row>
    <row r="8" spans="2:29" x14ac:dyDescent="0.3">
      <c r="B8" s="61">
        <v>100</v>
      </c>
      <c r="C8" s="61" t="s">
        <v>57</v>
      </c>
      <c r="D8" s="33" t="str">
        <f>IF($C8="","",IFERROR(INDEX('EQUIPMENT REGISTER'!$C$7:$C$21,MATCH($C8,'EQUIPMENT REGISTER'!$B$7:$B$21,0)),""))</f>
        <v>CAT 773 RDT</v>
      </c>
      <c r="E8" s="61" t="s">
        <v>426</v>
      </c>
      <c r="F8" s="61" t="s">
        <v>304</v>
      </c>
      <c r="G8" s="71" t="s">
        <v>549</v>
      </c>
      <c r="H8" s="68">
        <v>46285</v>
      </c>
      <c r="I8" s="61" t="s">
        <v>311</v>
      </c>
      <c r="J8" s="71" t="s">
        <v>146</v>
      </c>
      <c r="K8" s="71" t="s">
        <v>152</v>
      </c>
      <c r="L8" s="72">
        <v>0.41666666666666669</v>
      </c>
      <c r="M8" s="72">
        <v>0.41666666666666669</v>
      </c>
      <c r="N8" s="72">
        <v>0.5</v>
      </c>
      <c r="O8" s="35">
        <v>6</v>
      </c>
      <c r="P8" s="72">
        <v>6</v>
      </c>
      <c r="Q8" s="72">
        <v>6</v>
      </c>
      <c r="R8" s="62">
        <f t="shared" ref="R8:R39" si="0">IF(OR($N8="",$Q8=""),"",ROUND(MAX(0,($Q8-$N8)*24),2))</f>
        <v>132</v>
      </c>
      <c r="S8" s="62">
        <f t="shared" ref="S8:S39" si="1">IF(OR($R8="",$O8=""),"",$R8-$O8)</f>
        <v>126</v>
      </c>
      <c r="T8" s="73">
        <f t="shared" ref="T8:T39" si="2">IF(OR($S8="",N($O8)=0),"",$S8/$O8)</f>
        <v>21</v>
      </c>
      <c r="U8" s="66" t="str">
        <f t="shared" ref="U8:U39" ca="1" si="3">IF($P8="","",IF($Q8="",IF(NOW()&gt;$P8,"OVERDUE","IN WINDOW"),IF($Q8&lt;=$P8,"MET","MISSED")))</f>
        <v>MET</v>
      </c>
      <c r="V8" s="35"/>
      <c r="W8" s="35"/>
      <c r="X8" s="61" t="s">
        <v>548</v>
      </c>
      <c r="Y8" s="72"/>
      <c r="Z8" s="61" t="s">
        <v>550</v>
      </c>
      <c r="AA8" s="66" t="str">
        <f t="shared" ref="AA8:AA39" si="4">IF($C8="","",IF(COUNTIFS($C$8:$C$107,$C8,$F$8:$F$107,$F8)&gt;1,"REPEAT",""))</f>
        <v/>
      </c>
      <c r="AB8" s="38" t="str">
        <f t="shared" ref="AB8:AB39" ca="1" si="5">IF($C8="","",IF(OR($U8="MISSED",$U8="OVERDUE",$AA8="REPEAT"),"RED",IF(OR(N($S8)&gt;0,$Z8="Open"),"AMBER","GREEN")))</f>
        <v>AMBER</v>
      </c>
      <c r="AC8" s="71" t="s">
        <v>551</v>
      </c>
    </row>
    <row r="9" spans="2:29" x14ac:dyDescent="0.3">
      <c r="B9" s="61"/>
      <c r="C9" s="61"/>
      <c r="D9" s="33" t="str">
        <f>IF($C9="","",IFERROR(INDEX('EQUIPMENT REGISTER'!$C$7:$C$21,MATCH($C9,'EQUIPMENT REGISTER'!$B$7:$B$21,0)),""))</f>
        <v/>
      </c>
      <c r="E9" s="61"/>
      <c r="F9" s="61"/>
      <c r="G9" s="71"/>
      <c r="H9" s="68"/>
      <c r="I9" s="61"/>
      <c r="J9" s="71"/>
      <c r="K9" s="71"/>
      <c r="L9" s="72"/>
      <c r="M9" s="72"/>
      <c r="N9" s="72"/>
      <c r="O9" s="35"/>
      <c r="P9" s="72"/>
      <c r="Q9" s="72"/>
      <c r="R9" s="62" t="str">
        <f t="shared" si="0"/>
        <v/>
      </c>
      <c r="S9" s="62" t="str">
        <f t="shared" si="1"/>
        <v/>
      </c>
      <c r="T9" s="73" t="str">
        <f t="shared" si="2"/>
        <v/>
      </c>
      <c r="U9" s="66" t="str">
        <f t="shared" ca="1" si="3"/>
        <v/>
      </c>
      <c r="V9" s="35"/>
      <c r="W9" s="35"/>
      <c r="X9" s="61"/>
      <c r="Y9" s="72"/>
      <c r="Z9" s="61"/>
      <c r="AA9" s="66" t="str">
        <f t="shared" si="4"/>
        <v/>
      </c>
      <c r="AB9" s="38" t="str">
        <f t="shared" si="5"/>
        <v/>
      </c>
      <c r="AC9" s="71"/>
    </row>
    <row r="10" spans="2:29" x14ac:dyDescent="0.3">
      <c r="B10" s="61"/>
      <c r="C10" s="61"/>
      <c r="D10" s="33" t="str">
        <f>IF($C10="","",IFERROR(INDEX('EQUIPMENT REGISTER'!$C$7:$C$21,MATCH($C10,'EQUIPMENT REGISTER'!$B$7:$B$21,0)),""))</f>
        <v/>
      </c>
      <c r="E10" s="61"/>
      <c r="F10" s="61"/>
      <c r="G10" s="71"/>
      <c r="H10" s="68"/>
      <c r="I10" s="61"/>
      <c r="J10" s="71"/>
      <c r="K10" s="71"/>
      <c r="L10" s="72"/>
      <c r="M10" s="72"/>
      <c r="N10" s="72"/>
      <c r="O10" s="35"/>
      <c r="P10" s="72"/>
      <c r="Q10" s="72"/>
      <c r="R10" s="62" t="str">
        <f t="shared" si="0"/>
        <v/>
      </c>
      <c r="S10" s="62" t="str">
        <f t="shared" si="1"/>
        <v/>
      </c>
      <c r="T10" s="73" t="str">
        <f t="shared" si="2"/>
        <v/>
      </c>
      <c r="U10" s="66" t="str">
        <f t="shared" ca="1" si="3"/>
        <v/>
      </c>
      <c r="V10" s="35"/>
      <c r="W10" s="35"/>
      <c r="X10" s="61"/>
      <c r="Y10" s="72"/>
      <c r="Z10" s="61"/>
      <c r="AA10" s="66" t="str">
        <f t="shared" si="4"/>
        <v/>
      </c>
      <c r="AB10" s="38" t="str">
        <f t="shared" si="5"/>
        <v/>
      </c>
      <c r="AC10" s="71"/>
    </row>
    <row r="11" spans="2:29" x14ac:dyDescent="0.3">
      <c r="B11" s="61"/>
      <c r="C11" s="61"/>
      <c r="D11" s="33" t="str">
        <f>IF($C11="","",IFERROR(INDEX('EQUIPMENT REGISTER'!$C$7:$C$21,MATCH($C11,'EQUIPMENT REGISTER'!$B$7:$B$21,0)),""))</f>
        <v/>
      </c>
      <c r="E11" s="61"/>
      <c r="F11" s="61"/>
      <c r="G11" s="71"/>
      <c r="H11" s="68"/>
      <c r="I11" s="61"/>
      <c r="J11" s="71"/>
      <c r="K11" s="71"/>
      <c r="L11" s="72"/>
      <c r="M11" s="72"/>
      <c r="N11" s="72"/>
      <c r="O11" s="35"/>
      <c r="P11" s="72"/>
      <c r="Q11" s="72"/>
      <c r="R11" s="62" t="str">
        <f t="shared" si="0"/>
        <v/>
      </c>
      <c r="S11" s="62" t="str">
        <f t="shared" si="1"/>
        <v/>
      </c>
      <c r="T11" s="73" t="str">
        <f t="shared" si="2"/>
        <v/>
      </c>
      <c r="U11" s="66" t="str">
        <f t="shared" ca="1" si="3"/>
        <v/>
      </c>
      <c r="V11" s="35"/>
      <c r="W11" s="35"/>
      <c r="X11" s="61"/>
      <c r="Y11" s="72"/>
      <c r="Z11" s="61"/>
      <c r="AA11" s="66" t="str">
        <f t="shared" si="4"/>
        <v/>
      </c>
      <c r="AB11" s="38" t="str">
        <f t="shared" si="5"/>
        <v/>
      </c>
      <c r="AC11" s="71"/>
    </row>
    <row r="12" spans="2:29" x14ac:dyDescent="0.3">
      <c r="B12" s="61"/>
      <c r="C12" s="61"/>
      <c r="D12" s="33" t="str">
        <f>IF($C12="","",IFERROR(INDEX('EQUIPMENT REGISTER'!$C$7:$C$21,MATCH($C12,'EQUIPMENT REGISTER'!$B$7:$B$21,0)),""))</f>
        <v/>
      </c>
      <c r="E12" s="61"/>
      <c r="F12" s="61"/>
      <c r="G12" s="71"/>
      <c r="H12" s="68"/>
      <c r="I12" s="61"/>
      <c r="J12" s="71"/>
      <c r="K12" s="71"/>
      <c r="L12" s="72"/>
      <c r="M12" s="72"/>
      <c r="N12" s="72"/>
      <c r="O12" s="35"/>
      <c r="P12" s="72"/>
      <c r="Q12" s="72"/>
      <c r="R12" s="62" t="str">
        <f t="shared" si="0"/>
        <v/>
      </c>
      <c r="S12" s="62" t="str">
        <f t="shared" si="1"/>
        <v/>
      </c>
      <c r="T12" s="73" t="str">
        <f t="shared" si="2"/>
        <v/>
      </c>
      <c r="U12" s="66" t="str">
        <f t="shared" ca="1" si="3"/>
        <v/>
      </c>
      <c r="V12" s="35"/>
      <c r="W12" s="35"/>
      <c r="X12" s="61"/>
      <c r="Y12" s="72"/>
      <c r="Z12" s="61"/>
      <c r="AA12" s="66" t="str">
        <f t="shared" si="4"/>
        <v/>
      </c>
      <c r="AB12" s="38" t="str">
        <f t="shared" si="5"/>
        <v/>
      </c>
      <c r="AC12" s="71"/>
    </row>
    <row r="13" spans="2:29" x14ac:dyDescent="0.3">
      <c r="B13" s="61"/>
      <c r="C13" s="61"/>
      <c r="D13" s="33" t="str">
        <f>IF($C13="","",IFERROR(INDEX('EQUIPMENT REGISTER'!$C$7:$C$21,MATCH($C13,'EQUIPMENT REGISTER'!$B$7:$B$21,0)),""))</f>
        <v/>
      </c>
      <c r="E13" s="61"/>
      <c r="F13" s="61"/>
      <c r="G13" s="71"/>
      <c r="H13" s="68"/>
      <c r="I13" s="61"/>
      <c r="J13" s="71"/>
      <c r="K13" s="71"/>
      <c r="L13" s="72"/>
      <c r="M13" s="72"/>
      <c r="N13" s="72"/>
      <c r="O13" s="35"/>
      <c r="P13" s="72"/>
      <c r="Q13" s="72"/>
      <c r="R13" s="62" t="str">
        <f t="shared" si="0"/>
        <v/>
      </c>
      <c r="S13" s="62" t="str">
        <f t="shared" si="1"/>
        <v/>
      </c>
      <c r="T13" s="73" t="str">
        <f t="shared" si="2"/>
        <v/>
      </c>
      <c r="U13" s="66" t="str">
        <f t="shared" ca="1" si="3"/>
        <v/>
      </c>
      <c r="V13" s="35"/>
      <c r="W13" s="35"/>
      <c r="X13" s="61"/>
      <c r="Y13" s="72"/>
      <c r="Z13" s="61"/>
      <c r="AA13" s="66" t="str">
        <f t="shared" si="4"/>
        <v/>
      </c>
      <c r="AB13" s="38" t="str">
        <f t="shared" si="5"/>
        <v/>
      </c>
      <c r="AC13" s="71"/>
    </row>
    <row r="14" spans="2:29" x14ac:dyDescent="0.3">
      <c r="B14" s="61"/>
      <c r="C14" s="61"/>
      <c r="D14" s="33" t="str">
        <f>IF($C14="","",IFERROR(INDEX('EQUIPMENT REGISTER'!$C$7:$C$21,MATCH($C14,'EQUIPMENT REGISTER'!$B$7:$B$21,0)),""))</f>
        <v/>
      </c>
      <c r="E14" s="61"/>
      <c r="F14" s="61"/>
      <c r="G14" s="71"/>
      <c r="H14" s="68"/>
      <c r="I14" s="61"/>
      <c r="J14" s="71"/>
      <c r="K14" s="71"/>
      <c r="L14" s="72"/>
      <c r="M14" s="72"/>
      <c r="N14" s="72"/>
      <c r="O14" s="35"/>
      <c r="P14" s="72"/>
      <c r="Q14" s="72"/>
      <c r="R14" s="62" t="str">
        <f t="shared" si="0"/>
        <v/>
      </c>
      <c r="S14" s="62" t="str">
        <f t="shared" si="1"/>
        <v/>
      </c>
      <c r="T14" s="73" t="str">
        <f t="shared" si="2"/>
        <v/>
      </c>
      <c r="U14" s="66" t="str">
        <f t="shared" ca="1" si="3"/>
        <v/>
      </c>
      <c r="V14" s="35"/>
      <c r="W14" s="35"/>
      <c r="X14" s="61"/>
      <c r="Y14" s="72"/>
      <c r="Z14" s="61"/>
      <c r="AA14" s="66" t="str">
        <f t="shared" si="4"/>
        <v/>
      </c>
      <c r="AB14" s="38" t="str">
        <f t="shared" si="5"/>
        <v/>
      </c>
      <c r="AC14" s="71"/>
    </row>
    <row r="15" spans="2:29" x14ac:dyDescent="0.3">
      <c r="B15" s="61"/>
      <c r="C15" s="61"/>
      <c r="D15" s="33" t="str">
        <f>IF($C15="","",IFERROR(INDEX('EQUIPMENT REGISTER'!$C$7:$C$21,MATCH($C15,'EQUIPMENT REGISTER'!$B$7:$B$21,0)),""))</f>
        <v/>
      </c>
      <c r="E15" s="61"/>
      <c r="F15" s="61"/>
      <c r="G15" s="71"/>
      <c r="H15" s="68"/>
      <c r="I15" s="61"/>
      <c r="J15" s="71"/>
      <c r="K15" s="71"/>
      <c r="L15" s="72"/>
      <c r="M15" s="72"/>
      <c r="N15" s="72"/>
      <c r="O15" s="35"/>
      <c r="P15" s="72"/>
      <c r="Q15" s="72"/>
      <c r="R15" s="62" t="str">
        <f t="shared" si="0"/>
        <v/>
      </c>
      <c r="S15" s="62" t="str">
        <f t="shared" si="1"/>
        <v/>
      </c>
      <c r="T15" s="73" t="str">
        <f t="shared" si="2"/>
        <v/>
      </c>
      <c r="U15" s="66" t="str">
        <f t="shared" ca="1" si="3"/>
        <v/>
      </c>
      <c r="V15" s="35"/>
      <c r="W15" s="35"/>
      <c r="X15" s="61"/>
      <c r="Y15" s="72"/>
      <c r="Z15" s="61"/>
      <c r="AA15" s="66" t="str">
        <f t="shared" si="4"/>
        <v/>
      </c>
      <c r="AB15" s="38" t="str">
        <f t="shared" si="5"/>
        <v/>
      </c>
      <c r="AC15" s="71"/>
    </row>
    <row r="16" spans="2:29" x14ac:dyDescent="0.3">
      <c r="B16" s="61"/>
      <c r="C16" s="61"/>
      <c r="D16" s="33" t="str">
        <f>IF($C16="","",IFERROR(INDEX('EQUIPMENT REGISTER'!$C$7:$C$21,MATCH($C16,'EQUIPMENT REGISTER'!$B$7:$B$21,0)),""))</f>
        <v/>
      </c>
      <c r="E16" s="61"/>
      <c r="F16" s="61"/>
      <c r="G16" s="71"/>
      <c r="H16" s="68"/>
      <c r="I16" s="61"/>
      <c r="J16" s="71"/>
      <c r="K16" s="71"/>
      <c r="L16" s="72"/>
      <c r="M16" s="72"/>
      <c r="N16" s="72"/>
      <c r="O16" s="35"/>
      <c r="P16" s="72"/>
      <c r="Q16" s="72"/>
      <c r="R16" s="62" t="str">
        <f t="shared" si="0"/>
        <v/>
      </c>
      <c r="S16" s="62" t="str">
        <f t="shared" si="1"/>
        <v/>
      </c>
      <c r="T16" s="73" t="str">
        <f t="shared" si="2"/>
        <v/>
      </c>
      <c r="U16" s="66" t="str">
        <f t="shared" ca="1" si="3"/>
        <v/>
      </c>
      <c r="V16" s="35"/>
      <c r="W16" s="35"/>
      <c r="X16" s="61"/>
      <c r="Y16" s="72"/>
      <c r="Z16" s="61"/>
      <c r="AA16" s="66" t="str">
        <f t="shared" si="4"/>
        <v/>
      </c>
      <c r="AB16" s="38" t="str">
        <f t="shared" si="5"/>
        <v/>
      </c>
      <c r="AC16" s="71"/>
    </row>
    <row r="17" spans="2:29" x14ac:dyDescent="0.3">
      <c r="B17" s="61"/>
      <c r="C17" s="61"/>
      <c r="D17" s="33" t="str">
        <f>IF($C17="","",IFERROR(INDEX('EQUIPMENT REGISTER'!$C$7:$C$21,MATCH($C17,'EQUIPMENT REGISTER'!$B$7:$B$21,0)),""))</f>
        <v/>
      </c>
      <c r="E17" s="61"/>
      <c r="F17" s="61"/>
      <c r="G17" s="71"/>
      <c r="H17" s="68"/>
      <c r="I17" s="61"/>
      <c r="J17" s="71"/>
      <c r="K17" s="71"/>
      <c r="L17" s="72"/>
      <c r="M17" s="72"/>
      <c r="N17" s="72"/>
      <c r="O17" s="35"/>
      <c r="P17" s="72"/>
      <c r="Q17" s="72"/>
      <c r="R17" s="62" t="str">
        <f t="shared" si="0"/>
        <v/>
      </c>
      <c r="S17" s="62" t="str">
        <f t="shared" si="1"/>
        <v/>
      </c>
      <c r="T17" s="73" t="str">
        <f t="shared" si="2"/>
        <v/>
      </c>
      <c r="U17" s="66" t="str">
        <f t="shared" ca="1" si="3"/>
        <v/>
      </c>
      <c r="V17" s="35"/>
      <c r="W17" s="35"/>
      <c r="X17" s="61"/>
      <c r="Y17" s="72"/>
      <c r="Z17" s="61"/>
      <c r="AA17" s="66" t="str">
        <f t="shared" si="4"/>
        <v/>
      </c>
      <c r="AB17" s="38" t="str">
        <f t="shared" si="5"/>
        <v/>
      </c>
      <c r="AC17" s="71"/>
    </row>
    <row r="18" spans="2:29" x14ac:dyDescent="0.3">
      <c r="B18" s="61"/>
      <c r="C18" s="61"/>
      <c r="D18" s="33" t="str">
        <f>IF($C18="","",IFERROR(INDEX('EQUIPMENT REGISTER'!$C$7:$C$21,MATCH($C18,'EQUIPMENT REGISTER'!$B$7:$B$21,0)),""))</f>
        <v/>
      </c>
      <c r="E18" s="61"/>
      <c r="F18" s="61"/>
      <c r="G18" s="71"/>
      <c r="H18" s="68"/>
      <c r="I18" s="61"/>
      <c r="J18" s="71"/>
      <c r="K18" s="71"/>
      <c r="L18" s="72"/>
      <c r="M18" s="72"/>
      <c r="N18" s="72"/>
      <c r="O18" s="35"/>
      <c r="P18" s="72"/>
      <c r="Q18" s="72"/>
      <c r="R18" s="62" t="str">
        <f t="shared" si="0"/>
        <v/>
      </c>
      <c r="S18" s="62" t="str">
        <f t="shared" si="1"/>
        <v/>
      </c>
      <c r="T18" s="73" t="str">
        <f t="shared" si="2"/>
        <v/>
      </c>
      <c r="U18" s="66" t="str">
        <f t="shared" ca="1" si="3"/>
        <v/>
      </c>
      <c r="V18" s="35"/>
      <c r="W18" s="35"/>
      <c r="X18" s="61"/>
      <c r="Y18" s="72"/>
      <c r="Z18" s="61"/>
      <c r="AA18" s="66" t="str">
        <f t="shared" si="4"/>
        <v/>
      </c>
      <c r="AB18" s="38" t="str">
        <f t="shared" si="5"/>
        <v/>
      </c>
      <c r="AC18" s="71"/>
    </row>
    <row r="19" spans="2:29" x14ac:dyDescent="0.3">
      <c r="B19" s="61"/>
      <c r="C19" s="61"/>
      <c r="D19" s="33" t="str">
        <f>IF($C19="","",IFERROR(INDEX('EQUIPMENT REGISTER'!$C$7:$C$21,MATCH($C19,'EQUIPMENT REGISTER'!$B$7:$B$21,0)),""))</f>
        <v/>
      </c>
      <c r="E19" s="61"/>
      <c r="F19" s="61"/>
      <c r="G19" s="71"/>
      <c r="H19" s="68"/>
      <c r="I19" s="61"/>
      <c r="J19" s="71"/>
      <c r="K19" s="71"/>
      <c r="L19" s="72"/>
      <c r="M19" s="72"/>
      <c r="N19" s="72"/>
      <c r="O19" s="35"/>
      <c r="P19" s="72"/>
      <c r="Q19" s="72"/>
      <c r="R19" s="62" t="str">
        <f t="shared" si="0"/>
        <v/>
      </c>
      <c r="S19" s="62" t="str">
        <f t="shared" si="1"/>
        <v/>
      </c>
      <c r="T19" s="73" t="str">
        <f t="shared" si="2"/>
        <v/>
      </c>
      <c r="U19" s="66" t="str">
        <f t="shared" ca="1" si="3"/>
        <v/>
      </c>
      <c r="V19" s="35"/>
      <c r="W19" s="35"/>
      <c r="X19" s="61"/>
      <c r="Y19" s="72"/>
      <c r="Z19" s="61"/>
      <c r="AA19" s="66" t="str">
        <f t="shared" si="4"/>
        <v/>
      </c>
      <c r="AB19" s="38" t="str">
        <f t="shared" si="5"/>
        <v/>
      </c>
      <c r="AC19" s="71"/>
    </row>
    <row r="20" spans="2:29" x14ac:dyDescent="0.3">
      <c r="B20" s="61"/>
      <c r="C20" s="61"/>
      <c r="D20" s="33" t="str">
        <f>IF($C20="","",IFERROR(INDEX('EQUIPMENT REGISTER'!$C$7:$C$21,MATCH($C20,'EQUIPMENT REGISTER'!$B$7:$B$21,0)),""))</f>
        <v/>
      </c>
      <c r="E20" s="61"/>
      <c r="F20" s="61"/>
      <c r="G20" s="71"/>
      <c r="H20" s="68"/>
      <c r="I20" s="61"/>
      <c r="J20" s="71"/>
      <c r="K20" s="71"/>
      <c r="L20" s="72"/>
      <c r="M20" s="72"/>
      <c r="N20" s="72"/>
      <c r="O20" s="35"/>
      <c r="P20" s="72"/>
      <c r="Q20" s="72"/>
      <c r="R20" s="62" t="str">
        <f t="shared" si="0"/>
        <v/>
      </c>
      <c r="S20" s="62" t="str">
        <f t="shared" si="1"/>
        <v/>
      </c>
      <c r="T20" s="73" t="str">
        <f t="shared" si="2"/>
        <v/>
      </c>
      <c r="U20" s="66" t="str">
        <f t="shared" ca="1" si="3"/>
        <v/>
      </c>
      <c r="V20" s="35"/>
      <c r="W20" s="35"/>
      <c r="X20" s="61"/>
      <c r="Y20" s="72"/>
      <c r="Z20" s="61"/>
      <c r="AA20" s="66" t="str">
        <f t="shared" si="4"/>
        <v/>
      </c>
      <c r="AB20" s="38" t="str">
        <f t="shared" si="5"/>
        <v/>
      </c>
      <c r="AC20" s="71"/>
    </row>
    <row r="21" spans="2:29" x14ac:dyDescent="0.3">
      <c r="B21" s="61"/>
      <c r="C21" s="61"/>
      <c r="D21" s="33" t="str">
        <f>IF($C21="","",IFERROR(INDEX('EQUIPMENT REGISTER'!$C$7:$C$21,MATCH($C21,'EQUIPMENT REGISTER'!$B$7:$B$21,0)),""))</f>
        <v/>
      </c>
      <c r="E21" s="61"/>
      <c r="F21" s="61"/>
      <c r="G21" s="71"/>
      <c r="H21" s="68"/>
      <c r="I21" s="61"/>
      <c r="J21" s="71"/>
      <c r="K21" s="71"/>
      <c r="L21" s="72"/>
      <c r="M21" s="72"/>
      <c r="N21" s="72"/>
      <c r="O21" s="35"/>
      <c r="P21" s="72"/>
      <c r="Q21" s="72"/>
      <c r="R21" s="62" t="str">
        <f t="shared" si="0"/>
        <v/>
      </c>
      <c r="S21" s="62" t="str">
        <f t="shared" si="1"/>
        <v/>
      </c>
      <c r="T21" s="73" t="str">
        <f t="shared" si="2"/>
        <v/>
      </c>
      <c r="U21" s="66" t="str">
        <f t="shared" ca="1" si="3"/>
        <v/>
      </c>
      <c r="V21" s="35"/>
      <c r="W21" s="35"/>
      <c r="X21" s="61"/>
      <c r="Y21" s="72"/>
      <c r="Z21" s="61"/>
      <c r="AA21" s="66" t="str">
        <f t="shared" si="4"/>
        <v/>
      </c>
      <c r="AB21" s="38" t="str">
        <f t="shared" si="5"/>
        <v/>
      </c>
      <c r="AC21" s="71"/>
    </row>
    <row r="22" spans="2:29" x14ac:dyDescent="0.3">
      <c r="B22" s="61"/>
      <c r="C22" s="61"/>
      <c r="D22" s="33" t="str">
        <f>IF($C22="","",IFERROR(INDEX('EQUIPMENT REGISTER'!$C$7:$C$21,MATCH($C22,'EQUIPMENT REGISTER'!$B$7:$B$21,0)),""))</f>
        <v/>
      </c>
      <c r="E22" s="61"/>
      <c r="F22" s="61"/>
      <c r="G22" s="71"/>
      <c r="H22" s="68"/>
      <c r="I22" s="61"/>
      <c r="J22" s="71"/>
      <c r="K22" s="71"/>
      <c r="L22" s="72"/>
      <c r="M22" s="72"/>
      <c r="N22" s="72"/>
      <c r="O22" s="35"/>
      <c r="P22" s="72"/>
      <c r="Q22" s="72"/>
      <c r="R22" s="62" t="str">
        <f t="shared" si="0"/>
        <v/>
      </c>
      <c r="S22" s="62" t="str">
        <f t="shared" si="1"/>
        <v/>
      </c>
      <c r="T22" s="73" t="str">
        <f t="shared" si="2"/>
        <v/>
      </c>
      <c r="U22" s="66" t="str">
        <f t="shared" ca="1" si="3"/>
        <v/>
      </c>
      <c r="V22" s="35"/>
      <c r="W22" s="35"/>
      <c r="X22" s="61"/>
      <c r="Y22" s="72"/>
      <c r="Z22" s="61"/>
      <c r="AA22" s="66" t="str">
        <f t="shared" si="4"/>
        <v/>
      </c>
      <c r="AB22" s="38" t="str">
        <f t="shared" si="5"/>
        <v/>
      </c>
      <c r="AC22" s="71"/>
    </row>
    <row r="23" spans="2:29" x14ac:dyDescent="0.3">
      <c r="B23" s="61"/>
      <c r="C23" s="61"/>
      <c r="D23" s="33" t="str">
        <f>IF($C23="","",IFERROR(INDEX('EQUIPMENT REGISTER'!$C$7:$C$21,MATCH($C23,'EQUIPMENT REGISTER'!$B$7:$B$21,0)),""))</f>
        <v/>
      </c>
      <c r="E23" s="61"/>
      <c r="F23" s="61"/>
      <c r="G23" s="71"/>
      <c r="H23" s="68"/>
      <c r="I23" s="61"/>
      <c r="J23" s="71"/>
      <c r="K23" s="71"/>
      <c r="L23" s="72"/>
      <c r="M23" s="72"/>
      <c r="N23" s="72"/>
      <c r="O23" s="35"/>
      <c r="P23" s="72"/>
      <c r="Q23" s="72"/>
      <c r="R23" s="62" t="str">
        <f t="shared" si="0"/>
        <v/>
      </c>
      <c r="S23" s="62" t="str">
        <f t="shared" si="1"/>
        <v/>
      </c>
      <c r="T23" s="73" t="str">
        <f t="shared" si="2"/>
        <v/>
      </c>
      <c r="U23" s="66" t="str">
        <f t="shared" ca="1" si="3"/>
        <v/>
      </c>
      <c r="V23" s="35"/>
      <c r="W23" s="35"/>
      <c r="X23" s="61"/>
      <c r="Y23" s="72"/>
      <c r="Z23" s="61"/>
      <c r="AA23" s="66" t="str">
        <f t="shared" si="4"/>
        <v/>
      </c>
      <c r="AB23" s="38" t="str">
        <f t="shared" si="5"/>
        <v/>
      </c>
      <c r="AC23" s="71"/>
    </row>
    <row r="24" spans="2:29" x14ac:dyDescent="0.3">
      <c r="B24" s="61"/>
      <c r="C24" s="61"/>
      <c r="D24" s="33" t="str">
        <f>IF($C24="","",IFERROR(INDEX('EQUIPMENT REGISTER'!$C$7:$C$21,MATCH($C24,'EQUIPMENT REGISTER'!$B$7:$B$21,0)),""))</f>
        <v/>
      </c>
      <c r="E24" s="61"/>
      <c r="F24" s="61"/>
      <c r="G24" s="71"/>
      <c r="H24" s="68"/>
      <c r="I24" s="61"/>
      <c r="J24" s="71"/>
      <c r="K24" s="71"/>
      <c r="L24" s="72"/>
      <c r="M24" s="72"/>
      <c r="N24" s="72"/>
      <c r="O24" s="35"/>
      <c r="P24" s="72"/>
      <c r="Q24" s="72"/>
      <c r="R24" s="62" t="str">
        <f t="shared" si="0"/>
        <v/>
      </c>
      <c r="S24" s="62" t="str">
        <f t="shared" si="1"/>
        <v/>
      </c>
      <c r="T24" s="73" t="str">
        <f t="shared" si="2"/>
        <v/>
      </c>
      <c r="U24" s="66" t="str">
        <f t="shared" ca="1" si="3"/>
        <v/>
      </c>
      <c r="V24" s="35"/>
      <c r="W24" s="35"/>
      <c r="X24" s="61"/>
      <c r="Y24" s="72"/>
      <c r="Z24" s="61"/>
      <c r="AA24" s="66" t="str">
        <f t="shared" si="4"/>
        <v/>
      </c>
      <c r="AB24" s="38" t="str">
        <f t="shared" si="5"/>
        <v/>
      </c>
      <c r="AC24" s="71"/>
    </row>
    <row r="25" spans="2:29" x14ac:dyDescent="0.3">
      <c r="B25" s="61"/>
      <c r="C25" s="61"/>
      <c r="D25" s="33" t="str">
        <f>IF($C25="","",IFERROR(INDEX('EQUIPMENT REGISTER'!$C$7:$C$21,MATCH($C25,'EQUIPMENT REGISTER'!$B$7:$B$21,0)),""))</f>
        <v/>
      </c>
      <c r="E25" s="61"/>
      <c r="F25" s="61"/>
      <c r="G25" s="71"/>
      <c r="H25" s="68"/>
      <c r="I25" s="61"/>
      <c r="J25" s="71"/>
      <c r="K25" s="71"/>
      <c r="L25" s="72"/>
      <c r="M25" s="72"/>
      <c r="N25" s="72"/>
      <c r="O25" s="35"/>
      <c r="P25" s="72"/>
      <c r="Q25" s="72"/>
      <c r="R25" s="62" t="str">
        <f t="shared" si="0"/>
        <v/>
      </c>
      <c r="S25" s="62" t="str">
        <f t="shared" si="1"/>
        <v/>
      </c>
      <c r="T25" s="73" t="str">
        <f t="shared" si="2"/>
        <v/>
      </c>
      <c r="U25" s="66" t="str">
        <f t="shared" ca="1" si="3"/>
        <v/>
      </c>
      <c r="V25" s="35"/>
      <c r="W25" s="35"/>
      <c r="X25" s="61"/>
      <c r="Y25" s="72"/>
      <c r="Z25" s="61"/>
      <c r="AA25" s="66" t="str">
        <f t="shared" si="4"/>
        <v/>
      </c>
      <c r="AB25" s="38" t="str">
        <f t="shared" si="5"/>
        <v/>
      </c>
      <c r="AC25" s="71"/>
    </row>
    <row r="26" spans="2:29" x14ac:dyDescent="0.3">
      <c r="B26" s="61"/>
      <c r="C26" s="61"/>
      <c r="D26" s="33" t="str">
        <f>IF($C26="","",IFERROR(INDEX('EQUIPMENT REGISTER'!$C$7:$C$21,MATCH($C26,'EQUIPMENT REGISTER'!$B$7:$B$21,0)),""))</f>
        <v/>
      </c>
      <c r="E26" s="61"/>
      <c r="F26" s="61"/>
      <c r="G26" s="71"/>
      <c r="H26" s="68"/>
      <c r="I26" s="61"/>
      <c r="J26" s="71"/>
      <c r="K26" s="71"/>
      <c r="L26" s="72"/>
      <c r="M26" s="72"/>
      <c r="N26" s="72"/>
      <c r="O26" s="35"/>
      <c r="P26" s="72"/>
      <c r="Q26" s="72"/>
      <c r="R26" s="62" t="str">
        <f t="shared" si="0"/>
        <v/>
      </c>
      <c r="S26" s="62" t="str">
        <f t="shared" si="1"/>
        <v/>
      </c>
      <c r="T26" s="73" t="str">
        <f t="shared" si="2"/>
        <v/>
      </c>
      <c r="U26" s="66" t="str">
        <f t="shared" ca="1" si="3"/>
        <v/>
      </c>
      <c r="V26" s="35"/>
      <c r="W26" s="35"/>
      <c r="X26" s="61"/>
      <c r="Y26" s="72"/>
      <c r="Z26" s="61"/>
      <c r="AA26" s="66" t="str">
        <f t="shared" si="4"/>
        <v/>
      </c>
      <c r="AB26" s="38" t="str">
        <f t="shared" si="5"/>
        <v/>
      </c>
      <c r="AC26" s="71"/>
    </row>
    <row r="27" spans="2:29" x14ac:dyDescent="0.3">
      <c r="B27" s="61"/>
      <c r="C27" s="61"/>
      <c r="D27" s="33" t="str">
        <f>IF($C27="","",IFERROR(INDEX('EQUIPMENT REGISTER'!$C$7:$C$21,MATCH($C27,'EQUIPMENT REGISTER'!$B$7:$B$21,0)),""))</f>
        <v/>
      </c>
      <c r="E27" s="61"/>
      <c r="F27" s="61"/>
      <c r="G27" s="71"/>
      <c r="H27" s="68"/>
      <c r="I27" s="61"/>
      <c r="J27" s="71"/>
      <c r="K27" s="71"/>
      <c r="L27" s="72"/>
      <c r="M27" s="72"/>
      <c r="N27" s="72"/>
      <c r="O27" s="35"/>
      <c r="P27" s="72"/>
      <c r="Q27" s="72"/>
      <c r="R27" s="62" t="str">
        <f t="shared" si="0"/>
        <v/>
      </c>
      <c r="S27" s="62" t="str">
        <f t="shared" si="1"/>
        <v/>
      </c>
      <c r="T27" s="73" t="str">
        <f t="shared" si="2"/>
        <v/>
      </c>
      <c r="U27" s="66" t="str">
        <f t="shared" ca="1" si="3"/>
        <v/>
      </c>
      <c r="V27" s="35"/>
      <c r="W27" s="35"/>
      <c r="X27" s="61"/>
      <c r="Y27" s="72"/>
      <c r="Z27" s="61"/>
      <c r="AA27" s="66" t="str">
        <f t="shared" si="4"/>
        <v/>
      </c>
      <c r="AB27" s="38" t="str">
        <f t="shared" si="5"/>
        <v/>
      </c>
      <c r="AC27" s="71"/>
    </row>
    <row r="28" spans="2:29" x14ac:dyDescent="0.3">
      <c r="B28" s="61"/>
      <c r="C28" s="61"/>
      <c r="D28" s="33" t="str">
        <f>IF($C28="","",IFERROR(INDEX('EQUIPMENT REGISTER'!$C$7:$C$21,MATCH($C28,'EQUIPMENT REGISTER'!$B$7:$B$21,0)),""))</f>
        <v/>
      </c>
      <c r="E28" s="61"/>
      <c r="F28" s="61"/>
      <c r="G28" s="71"/>
      <c r="H28" s="68"/>
      <c r="I28" s="61"/>
      <c r="J28" s="71"/>
      <c r="K28" s="71"/>
      <c r="L28" s="72"/>
      <c r="M28" s="72"/>
      <c r="N28" s="72"/>
      <c r="O28" s="35"/>
      <c r="P28" s="72"/>
      <c r="Q28" s="72"/>
      <c r="R28" s="62" t="str">
        <f t="shared" si="0"/>
        <v/>
      </c>
      <c r="S28" s="62" t="str">
        <f t="shared" si="1"/>
        <v/>
      </c>
      <c r="T28" s="73" t="str">
        <f t="shared" si="2"/>
        <v/>
      </c>
      <c r="U28" s="66" t="str">
        <f t="shared" ca="1" si="3"/>
        <v/>
      </c>
      <c r="V28" s="35"/>
      <c r="W28" s="35"/>
      <c r="X28" s="61"/>
      <c r="Y28" s="72"/>
      <c r="Z28" s="61"/>
      <c r="AA28" s="66" t="str">
        <f t="shared" si="4"/>
        <v/>
      </c>
      <c r="AB28" s="38" t="str">
        <f t="shared" si="5"/>
        <v/>
      </c>
      <c r="AC28" s="71"/>
    </row>
    <row r="29" spans="2:29" x14ac:dyDescent="0.3">
      <c r="B29" s="61"/>
      <c r="C29" s="61"/>
      <c r="D29" s="33" t="str">
        <f>IF($C29="","",IFERROR(INDEX('EQUIPMENT REGISTER'!$C$7:$C$21,MATCH($C29,'EQUIPMENT REGISTER'!$B$7:$B$21,0)),""))</f>
        <v/>
      </c>
      <c r="E29" s="61"/>
      <c r="F29" s="61"/>
      <c r="G29" s="71"/>
      <c r="H29" s="68"/>
      <c r="I29" s="61"/>
      <c r="J29" s="71"/>
      <c r="K29" s="71"/>
      <c r="L29" s="72"/>
      <c r="M29" s="72"/>
      <c r="N29" s="72"/>
      <c r="O29" s="35"/>
      <c r="P29" s="72"/>
      <c r="Q29" s="72"/>
      <c r="R29" s="62" t="str">
        <f t="shared" si="0"/>
        <v/>
      </c>
      <c r="S29" s="62" t="str">
        <f t="shared" si="1"/>
        <v/>
      </c>
      <c r="T29" s="73" t="str">
        <f t="shared" si="2"/>
        <v/>
      </c>
      <c r="U29" s="66" t="str">
        <f t="shared" ca="1" si="3"/>
        <v/>
      </c>
      <c r="V29" s="35"/>
      <c r="W29" s="35"/>
      <c r="X29" s="61"/>
      <c r="Y29" s="72"/>
      <c r="Z29" s="61"/>
      <c r="AA29" s="66" t="str">
        <f t="shared" si="4"/>
        <v/>
      </c>
      <c r="AB29" s="38" t="str">
        <f t="shared" si="5"/>
        <v/>
      </c>
      <c r="AC29" s="71"/>
    </row>
    <row r="30" spans="2:29" x14ac:dyDescent="0.3">
      <c r="B30" s="61"/>
      <c r="C30" s="61"/>
      <c r="D30" s="33" t="str">
        <f>IF($C30="","",IFERROR(INDEX('EQUIPMENT REGISTER'!$C$7:$C$21,MATCH($C30,'EQUIPMENT REGISTER'!$B$7:$B$21,0)),""))</f>
        <v/>
      </c>
      <c r="E30" s="61"/>
      <c r="F30" s="61"/>
      <c r="G30" s="71"/>
      <c r="H30" s="68"/>
      <c r="I30" s="61"/>
      <c r="J30" s="71"/>
      <c r="K30" s="71"/>
      <c r="L30" s="72"/>
      <c r="M30" s="72"/>
      <c r="N30" s="72"/>
      <c r="O30" s="35"/>
      <c r="P30" s="72"/>
      <c r="Q30" s="72"/>
      <c r="R30" s="62" t="str">
        <f t="shared" si="0"/>
        <v/>
      </c>
      <c r="S30" s="62" t="str">
        <f t="shared" si="1"/>
        <v/>
      </c>
      <c r="T30" s="73" t="str">
        <f t="shared" si="2"/>
        <v/>
      </c>
      <c r="U30" s="66" t="str">
        <f t="shared" ca="1" si="3"/>
        <v/>
      </c>
      <c r="V30" s="35"/>
      <c r="W30" s="35"/>
      <c r="X30" s="61"/>
      <c r="Y30" s="72"/>
      <c r="Z30" s="61"/>
      <c r="AA30" s="66" t="str">
        <f t="shared" si="4"/>
        <v/>
      </c>
      <c r="AB30" s="38" t="str">
        <f t="shared" si="5"/>
        <v/>
      </c>
      <c r="AC30" s="71"/>
    </row>
    <row r="31" spans="2:29" x14ac:dyDescent="0.3">
      <c r="B31" s="61"/>
      <c r="C31" s="61"/>
      <c r="D31" s="33" t="str">
        <f>IF($C31="","",IFERROR(INDEX('EQUIPMENT REGISTER'!$C$7:$C$21,MATCH($C31,'EQUIPMENT REGISTER'!$B$7:$B$21,0)),""))</f>
        <v/>
      </c>
      <c r="E31" s="61"/>
      <c r="F31" s="61"/>
      <c r="G31" s="71"/>
      <c r="H31" s="68"/>
      <c r="I31" s="61"/>
      <c r="J31" s="71"/>
      <c r="K31" s="71"/>
      <c r="L31" s="72"/>
      <c r="M31" s="72"/>
      <c r="N31" s="72"/>
      <c r="O31" s="35"/>
      <c r="P31" s="72"/>
      <c r="Q31" s="72"/>
      <c r="R31" s="62" t="str">
        <f t="shared" si="0"/>
        <v/>
      </c>
      <c r="S31" s="62" t="str">
        <f t="shared" si="1"/>
        <v/>
      </c>
      <c r="T31" s="73" t="str">
        <f t="shared" si="2"/>
        <v/>
      </c>
      <c r="U31" s="66" t="str">
        <f t="shared" ca="1" si="3"/>
        <v/>
      </c>
      <c r="V31" s="35"/>
      <c r="W31" s="35"/>
      <c r="X31" s="61"/>
      <c r="Y31" s="72"/>
      <c r="Z31" s="61"/>
      <c r="AA31" s="66" t="str">
        <f t="shared" si="4"/>
        <v/>
      </c>
      <c r="AB31" s="38" t="str">
        <f t="shared" si="5"/>
        <v/>
      </c>
      <c r="AC31" s="71"/>
    </row>
    <row r="32" spans="2:29" x14ac:dyDescent="0.3">
      <c r="B32" s="61"/>
      <c r="C32" s="61"/>
      <c r="D32" s="33" t="str">
        <f>IF($C32="","",IFERROR(INDEX('EQUIPMENT REGISTER'!$C$7:$C$21,MATCH($C32,'EQUIPMENT REGISTER'!$B$7:$B$21,0)),""))</f>
        <v/>
      </c>
      <c r="E32" s="61"/>
      <c r="F32" s="61"/>
      <c r="G32" s="71"/>
      <c r="H32" s="68"/>
      <c r="I32" s="61"/>
      <c r="J32" s="71"/>
      <c r="K32" s="71"/>
      <c r="L32" s="72"/>
      <c r="M32" s="72"/>
      <c r="N32" s="72"/>
      <c r="O32" s="35"/>
      <c r="P32" s="72"/>
      <c r="Q32" s="72"/>
      <c r="R32" s="62" t="str">
        <f t="shared" si="0"/>
        <v/>
      </c>
      <c r="S32" s="62" t="str">
        <f t="shared" si="1"/>
        <v/>
      </c>
      <c r="T32" s="73" t="str">
        <f t="shared" si="2"/>
        <v/>
      </c>
      <c r="U32" s="66" t="str">
        <f t="shared" ca="1" si="3"/>
        <v/>
      </c>
      <c r="V32" s="35"/>
      <c r="W32" s="35"/>
      <c r="X32" s="61"/>
      <c r="Y32" s="72"/>
      <c r="Z32" s="61"/>
      <c r="AA32" s="66" t="str">
        <f t="shared" si="4"/>
        <v/>
      </c>
      <c r="AB32" s="38" t="str">
        <f t="shared" si="5"/>
        <v/>
      </c>
      <c r="AC32" s="71"/>
    </row>
    <row r="33" spans="2:29" x14ac:dyDescent="0.3">
      <c r="B33" s="61"/>
      <c r="C33" s="61"/>
      <c r="D33" s="33" t="str">
        <f>IF($C33="","",IFERROR(INDEX('EQUIPMENT REGISTER'!$C$7:$C$21,MATCH($C33,'EQUIPMENT REGISTER'!$B$7:$B$21,0)),""))</f>
        <v/>
      </c>
      <c r="E33" s="61"/>
      <c r="F33" s="61"/>
      <c r="G33" s="71"/>
      <c r="H33" s="68"/>
      <c r="I33" s="61"/>
      <c r="J33" s="71"/>
      <c r="K33" s="71"/>
      <c r="L33" s="72"/>
      <c r="M33" s="72"/>
      <c r="N33" s="72"/>
      <c r="O33" s="35"/>
      <c r="P33" s="72"/>
      <c r="Q33" s="72"/>
      <c r="R33" s="62" t="str">
        <f t="shared" si="0"/>
        <v/>
      </c>
      <c r="S33" s="62" t="str">
        <f t="shared" si="1"/>
        <v/>
      </c>
      <c r="T33" s="73" t="str">
        <f t="shared" si="2"/>
        <v/>
      </c>
      <c r="U33" s="66" t="str">
        <f t="shared" ca="1" si="3"/>
        <v/>
      </c>
      <c r="V33" s="35"/>
      <c r="W33" s="35"/>
      <c r="X33" s="61"/>
      <c r="Y33" s="72"/>
      <c r="Z33" s="61"/>
      <c r="AA33" s="66" t="str">
        <f t="shared" si="4"/>
        <v/>
      </c>
      <c r="AB33" s="38" t="str">
        <f t="shared" si="5"/>
        <v/>
      </c>
      <c r="AC33" s="71"/>
    </row>
    <row r="34" spans="2:29" x14ac:dyDescent="0.3">
      <c r="B34" s="61"/>
      <c r="C34" s="61"/>
      <c r="D34" s="33" t="str">
        <f>IF($C34="","",IFERROR(INDEX('EQUIPMENT REGISTER'!$C$7:$C$21,MATCH($C34,'EQUIPMENT REGISTER'!$B$7:$B$21,0)),""))</f>
        <v/>
      </c>
      <c r="E34" s="61"/>
      <c r="F34" s="61"/>
      <c r="G34" s="71"/>
      <c r="H34" s="68"/>
      <c r="I34" s="61"/>
      <c r="J34" s="71"/>
      <c r="K34" s="71"/>
      <c r="L34" s="72"/>
      <c r="M34" s="72"/>
      <c r="N34" s="72"/>
      <c r="O34" s="35"/>
      <c r="P34" s="72"/>
      <c r="Q34" s="72"/>
      <c r="R34" s="62" t="str">
        <f t="shared" si="0"/>
        <v/>
      </c>
      <c r="S34" s="62" t="str">
        <f t="shared" si="1"/>
        <v/>
      </c>
      <c r="T34" s="73" t="str">
        <f t="shared" si="2"/>
        <v/>
      </c>
      <c r="U34" s="66" t="str">
        <f t="shared" ca="1" si="3"/>
        <v/>
      </c>
      <c r="V34" s="35"/>
      <c r="W34" s="35"/>
      <c r="X34" s="61"/>
      <c r="Y34" s="72"/>
      <c r="Z34" s="61"/>
      <c r="AA34" s="66" t="str">
        <f t="shared" si="4"/>
        <v/>
      </c>
      <c r="AB34" s="38" t="str">
        <f t="shared" si="5"/>
        <v/>
      </c>
      <c r="AC34" s="71"/>
    </row>
    <row r="35" spans="2:29" x14ac:dyDescent="0.3">
      <c r="B35" s="61"/>
      <c r="C35" s="61"/>
      <c r="D35" s="33" t="str">
        <f>IF($C35="","",IFERROR(INDEX('EQUIPMENT REGISTER'!$C$7:$C$21,MATCH($C35,'EQUIPMENT REGISTER'!$B$7:$B$21,0)),""))</f>
        <v/>
      </c>
      <c r="E35" s="61"/>
      <c r="F35" s="61"/>
      <c r="G35" s="71"/>
      <c r="H35" s="68"/>
      <c r="I35" s="61"/>
      <c r="J35" s="71"/>
      <c r="K35" s="71"/>
      <c r="L35" s="72"/>
      <c r="M35" s="72"/>
      <c r="N35" s="72"/>
      <c r="O35" s="35"/>
      <c r="P35" s="72"/>
      <c r="Q35" s="72"/>
      <c r="R35" s="62" t="str">
        <f t="shared" si="0"/>
        <v/>
      </c>
      <c r="S35" s="62" t="str">
        <f t="shared" si="1"/>
        <v/>
      </c>
      <c r="T35" s="73" t="str">
        <f t="shared" si="2"/>
        <v/>
      </c>
      <c r="U35" s="66" t="str">
        <f t="shared" ca="1" si="3"/>
        <v/>
      </c>
      <c r="V35" s="35"/>
      <c r="W35" s="35"/>
      <c r="X35" s="61"/>
      <c r="Y35" s="72"/>
      <c r="Z35" s="61"/>
      <c r="AA35" s="66" t="str">
        <f t="shared" si="4"/>
        <v/>
      </c>
      <c r="AB35" s="38" t="str">
        <f t="shared" si="5"/>
        <v/>
      </c>
      <c r="AC35" s="71"/>
    </row>
    <row r="36" spans="2:29" x14ac:dyDescent="0.3">
      <c r="B36" s="61"/>
      <c r="C36" s="61"/>
      <c r="D36" s="33" t="str">
        <f>IF($C36="","",IFERROR(INDEX('EQUIPMENT REGISTER'!$C$7:$C$21,MATCH($C36,'EQUIPMENT REGISTER'!$B$7:$B$21,0)),""))</f>
        <v/>
      </c>
      <c r="E36" s="61"/>
      <c r="F36" s="61"/>
      <c r="G36" s="71"/>
      <c r="H36" s="68"/>
      <c r="I36" s="61"/>
      <c r="J36" s="71"/>
      <c r="K36" s="71"/>
      <c r="L36" s="72"/>
      <c r="M36" s="72"/>
      <c r="N36" s="72"/>
      <c r="O36" s="35"/>
      <c r="P36" s="72"/>
      <c r="Q36" s="72"/>
      <c r="R36" s="62" t="str">
        <f t="shared" si="0"/>
        <v/>
      </c>
      <c r="S36" s="62" t="str">
        <f t="shared" si="1"/>
        <v/>
      </c>
      <c r="T36" s="73" t="str">
        <f t="shared" si="2"/>
        <v/>
      </c>
      <c r="U36" s="66" t="str">
        <f t="shared" ca="1" si="3"/>
        <v/>
      </c>
      <c r="V36" s="35"/>
      <c r="W36" s="35"/>
      <c r="X36" s="61"/>
      <c r="Y36" s="72"/>
      <c r="Z36" s="61"/>
      <c r="AA36" s="66" t="str">
        <f t="shared" si="4"/>
        <v/>
      </c>
      <c r="AB36" s="38" t="str">
        <f t="shared" si="5"/>
        <v/>
      </c>
      <c r="AC36" s="71"/>
    </row>
    <row r="37" spans="2:29" x14ac:dyDescent="0.3">
      <c r="B37" s="61"/>
      <c r="C37" s="61"/>
      <c r="D37" s="33" t="str">
        <f>IF($C37="","",IFERROR(INDEX('EQUIPMENT REGISTER'!$C$7:$C$21,MATCH($C37,'EQUIPMENT REGISTER'!$B$7:$B$21,0)),""))</f>
        <v/>
      </c>
      <c r="E37" s="61"/>
      <c r="F37" s="61"/>
      <c r="G37" s="71"/>
      <c r="H37" s="68"/>
      <c r="I37" s="61"/>
      <c r="J37" s="71"/>
      <c r="K37" s="71"/>
      <c r="L37" s="72"/>
      <c r="M37" s="72"/>
      <c r="N37" s="72"/>
      <c r="O37" s="35"/>
      <c r="P37" s="72"/>
      <c r="Q37" s="72"/>
      <c r="R37" s="62" t="str">
        <f t="shared" si="0"/>
        <v/>
      </c>
      <c r="S37" s="62" t="str">
        <f t="shared" si="1"/>
        <v/>
      </c>
      <c r="T37" s="73" t="str">
        <f t="shared" si="2"/>
        <v/>
      </c>
      <c r="U37" s="66" t="str">
        <f t="shared" ca="1" si="3"/>
        <v/>
      </c>
      <c r="V37" s="35"/>
      <c r="W37" s="35"/>
      <c r="X37" s="61"/>
      <c r="Y37" s="72"/>
      <c r="Z37" s="61"/>
      <c r="AA37" s="66" t="str">
        <f t="shared" si="4"/>
        <v/>
      </c>
      <c r="AB37" s="38" t="str">
        <f t="shared" si="5"/>
        <v/>
      </c>
      <c r="AC37" s="71"/>
    </row>
    <row r="38" spans="2:29" x14ac:dyDescent="0.3">
      <c r="B38" s="61"/>
      <c r="C38" s="61"/>
      <c r="D38" s="33" t="str">
        <f>IF($C38="","",IFERROR(INDEX('EQUIPMENT REGISTER'!$C$7:$C$21,MATCH($C38,'EQUIPMENT REGISTER'!$B$7:$B$21,0)),""))</f>
        <v/>
      </c>
      <c r="E38" s="61"/>
      <c r="F38" s="61"/>
      <c r="G38" s="71"/>
      <c r="H38" s="68"/>
      <c r="I38" s="61"/>
      <c r="J38" s="71"/>
      <c r="K38" s="71"/>
      <c r="L38" s="72"/>
      <c r="M38" s="72"/>
      <c r="N38" s="72"/>
      <c r="O38" s="35"/>
      <c r="P38" s="72"/>
      <c r="Q38" s="72"/>
      <c r="R38" s="62" t="str">
        <f t="shared" si="0"/>
        <v/>
      </c>
      <c r="S38" s="62" t="str">
        <f t="shared" si="1"/>
        <v/>
      </c>
      <c r="T38" s="73" t="str">
        <f t="shared" si="2"/>
        <v/>
      </c>
      <c r="U38" s="66" t="str">
        <f t="shared" ca="1" si="3"/>
        <v/>
      </c>
      <c r="V38" s="35"/>
      <c r="W38" s="35"/>
      <c r="X38" s="61"/>
      <c r="Y38" s="72"/>
      <c r="Z38" s="61"/>
      <c r="AA38" s="66" t="str">
        <f t="shared" si="4"/>
        <v/>
      </c>
      <c r="AB38" s="38" t="str">
        <f t="shared" si="5"/>
        <v/>
      </c>
      <c r="AC38" s="71"/>
    </row>
    <row r="39" spans="2:29" x14ac:dyDescent="0.3">
      <c r="B39" s="61"/>
      <c r="C39" s="61"/>
      <c r="D39" s="33" t="str">
        <f>IF($C39="","",IFERROR(INDEX('EQUIPMENT REGISTER'!$C$7:$C$21,MATCH($C39,'EQUIPMENT REGISTER'!$B$7:$B$21,0)),""))</f>
        <v/>
      </c>
      <c r="E39" s="61"/>
      <c r="F39" s="61"/>
      <c r="G39" s="71"/>
      <c r="H39" s="68"/>
      <c r="I39" s="61"/>
      <c r="J39" s="71"/>
      <c r="K39" s="71"/>
      <c r="L39" s="72"/>
      <c r="M39" s="72"/>
      <c r="N39" s="72"/>
      <c r="O39" s="35"/>
      <c r="P39" s="72"/>
      <c r="Q39" s="72"/>
      <c r="R39" s="62" t="str">
        <f t="shared" si="0"/>
        <v/>
      </c>
      <c r="S39" s="62" t="str">
        <f t="shared" si="1"/>
        <v/>
      </c>
      <c r="T39" s="73" t="str">
        <f t="shared" si="2"/>
        <v/>
      </c>
      <c r="U39" s="66" t="str">
        <f t="shared" ca="1" si="3"/>
        <v/>
      </c>
      <c r="V39" s="35"/>
      <c r="W39" s="35"/>
      <c r="X39" s="61"/>
      <c r="Y39" s="72"/>
      <c r="Z39" s="61"/>
      <c r="AA39" s="66" t="str">
        <f t="shared" si="4"/>
        <v/>
      </c>
      <c r="AB39" s="38" t="str">
        <f t="shared" si="5"/>
        <v/>
      </c>
      <c r="AC39" s="71"/>
    </row>
    <row r="40" spans="2:29" x14ac:dyDescent="0.3">
      <c r="B40" s="61"/>
      <c r="C40" s="61"/>
      <c r="D40" s="33" t="str">
        <f>IF($C40="","",IFERROR(INDEX('EQUIPMENT REGISTER'!$C$7:$C$21,MATCH($C40,'EQUIPMENT REGISTER'!$B$7:$B$21,0)),""))</f>
        <v/>
      </c>
      <c r="E40" s="61"/>
      <c r="F40" s="61"/>
      <c r="G40" s="71"/>
      <c r="H40" s="68"/>
      <c r="I40" s="61"/>
      <c r="J40" s="71"/>
      <c r="K40" s="71"/>
      <c r="L40" s="72"/>
      <c r="M40" s="72"/>
      <c r="N40" s="72"/>
      <c r="O40" s="35"/>
      <c r="P40" s="72"/>
      <c r="Q40" s="72"/>
      <c r="R40" s="62" t="str">
        <f t="shared" ref="R40:R71" si="6">IF(OR($N40="",$Q40=""),"",ROUND(MAX(0,($Q40-$N40)*24),2))</f>
        <v/>
      </c>
      <c r="S40" s="62" t="str">
        <f t="shared" ref="S40:S71" si="7">IF(OR($R40="",$O40=""),"",$R40-$O40)</f>
        <v/>
      </c>
      <c r="T40" s="73" t="str">
        <f t="shared" ref="T40:T71" si="8">IF(OR($S40="",N($O40)=0),"",$S40/$O40)</f>
        <v/>
      </c>
      <c r="U40" s="66" t="str">
        <f t="shared" ref="U40:U71" ca="1" si="9">IF($P40="","",IF($Q40="",IF(NOW()&gt;$P40,"OVERDUE","IN WINDOW"),IF($Q40&lt;=$P40,"MET","MISSED")))</f>
        <v/>
      </c>
      <c r="V40" s="35"/>
      <c r="W40" s="35"/>
      <c r="X40" s="61"/>
      <c r="Y40" s="72"/>
      <c r="Z40" s="61"/>
      <c r="AA40" s="66" t="str">
        <f t="shared" ref="AA40:AA71" si="10">IF($C40="","",IF(COUNTIFS($C$8:$C$107,$C40,$F$8:$F$107,$F40)&gt;1,"REPEAT",""))</f>
        <v/>
      </c>
      <c r="AB40" s="38" t="str">
        <f t="shared" ref="AB40:AB71" si="11">IF($C40="","",IF(OR($U40="MISSED",$U40="OVERDUE",$AA40="REPEAT"),"RED",IF(OR(N($S40)&gt;0,$Z40="Open"),"AMBER","GREEN")))</f>
        <v/>
      </c>
      <c r="AC40" s="71"/>
    </row>
    <row r="41" spans="2:29" x14ac:dyDescent="0.3">
      <c r="B41" s="61"/>
      <c r="C41" s="61"/>
      <c r="D41" s="33" t="str">
        <f>IF($C41="","",IFERROR(INDEX('EQUIPMENT REGISTER'!$C$7:$C$21,MATCH($C41,'EQUIPMENT REGISTER'!$B$7:$B$21,0)),""))</f>
        <v/>
      </c>
      <c r="E41" s="61"/>
      <c r="F41" s="61"/>
      <c r="G41" s="71"/>
      <c r="H41" s="68"/>
      <c r="I41" s="61"/>
      <c r="J41" s="71"/>
      <c r="K41" s="71"/>
      <c r="L41" s="72"/>
      <c r="M41" s="72"/>
      <c r="N41" s="72"/>
      <c r="O41" s="35"/>
      <c r="P41" s="72"/>
      <c r="Q41" s="72"/>
      <c r="R41" s="62" t="str">
        <f t="shared" si="6"/>
        <v/>
      </c>
      <c r="S41" s="62" t="str">
        <f t="shared" si="7"/>
        <v/>
      </c>
      <c r="T41" s="73" t="str">
        <f t="shared" si="8"/>
        <v/>
      </c>
      <c r="U41" s="66" t="str">
        <f t="shared" ca="1" si="9"/>
        <v/>
      </c>
      <c r="V41" s="35"/>
      <c r="W41" s="35"/>
      <c r="X41" s="61"/>
      <c r="Y41" s="72"/>
      <c r="Z41" s="61"/>
      <c r="AA41" s="66" t="str">
        <f t="shared" si="10"/>
        <v/>
      </c>
      <c r="AB41" s="38" t="str">
        <f t="shared" si="11"/>
        <v/>
      </c>
      <c r="AC41" s="71"/>
    </row>
    <row r="42" spans="2:29" x14ac:dyDescent="0.3">
      <c r="B42" s="61"/>
      <c r="C42" s="61"/>
      <c r="D42" s="33" t="str">
        <f>IF($C42="","",IFERROR(INDEX('EQUIPMENT REGISTER'!$C$7:$C$21,MATCH($C42,'EQUIPMENT REGISTER'!$B$7:$B$21,0)),""))</f>
        <v/>
      </c>
      <c r="E42" s="61"/>
      <c r="F42" s="61"/>
      <c r="G42" s="71"/>
      <c r="H42" s="68"/>
      <c r="I42" s="61"/>
      <c r="J42" s="71"/>
      <c r="K42" s="71"/>
      <c r="L42" s="72"/>
      <c r="M42" s="72"/>
      <c r="N42" s="72"/>
      <c r="O42" s="35"/>
      <c r="P42" s="72"/>
      <c r="Q42" s="72"/>
      <c r="R42" s="62" t="str">
        <f t="shared" si="6"/>
        <v/>
      </c>
      <c r="S42" s="62" t="str">
        <f t="shared" si="7"/>
        <v/>
      </c>
      <c r="T42" s="73" t="str">
        <f t="shared" si="8"/>
        <v/>
      </c>
      <c r="U42" s="66" t="str">
        <f t="shared" ca="1" si="9"/>
        <v/>
      </c>
      <c r="V42" s="35"/>
      <c r="W42" s="35"/>
      <c r="X42" s="61"/>
      <c r="Y42" s="72"/>
      <c r="Z42" s="61"/>
      <c r="AA42" s="66" t="str">
        <f t="shared" si="10"/>
        <v/>
      </c>
      <c r="AB42" s="38" t="str">
        <f t="shared" si="11"/>
        <v/>
      </c>
      <c r="AC42" s="71"/>
    </row>
    <row r="43" spans="2:29" x14ac:dyDescent="0.3">
      <c r="B43" s="61"/>
      <c r="C43" s="61"/>
      <c r="D43" s="33" t="str">
        <f>IF($C43="","",IFERROR(INDEX('EQUIPMENT REGISTER'!$C$7:$C$21,MATCH($C43,'EQUIPMENT REGISTER'!$B$7:$B$21,0)),""))</f>
        <v/>
      </c>
      <c r="E43" s="61"/>
      <c r="F43" s="61"/>
      <c r="G43" s="71"/>
      <c r="H43" s="68"/>
      <c r="I43" s="61"/>
      <c r="J43" s="71"/>
      <c r="K43" s="71"/>
      <c r="L43" s="72"/>
      <c r="M43" s="72"/>
      <c r="N43" s="72"/>
      <c r="O43" s="35"/>
      <c r="P43" s="72"/>
      <c r="Q43" s="72"/>
      <c r="R43" s="62" t="str">
        <f t="shared" si="6"/>
        <v/>
      </c>
      <c r="S43" s="62" t="str">
        <f t="shared" si="7"/>
        <v/>
      </c>
      <c r="T43" s="73" t="str">
        <f t="shared" si="8"/>
        <v/>
      </c>
      <c r="U43" s="66" t="str">
        <f t="shared" ca="1" si="9"/>
        <v/>
      </c>
      <c r="V43" s="35"/>
      <c r="W43" s="35"/>
      <c r="X43" s="61"/>
      <c r="Y43" s="72"/>
      <c r="Z43" s="61"/>
      <c r="AA43" s="66" t="str">
        <f t="shared" si="10"/>
        <v/>
      </c>
      <c r="AB43" s="38" t="str">
        <f t="shared" si="11"/>
        <v/>
      </c>
      <c r="AC43" s="71"/>
    </row>
    <row r="44" spans="2:29" x14ac:dyDescent="0.3">
      <c r="B44" s="61"/>
      <c r="C44" s="61"/>
      <c r="D44" s="33" t="str">
        <f>IF($C44="","",IFERROR(INDEX('EQUIPMENT REGISTER'!$C$7:$C$21,MATCH($C44,'EQUIPMENT REGISTER'!$B$7:$B$21,0)),""))</f>
        <v/>
      </c>
      <c r="E44" s="61"/>
      <c r="F44" s="61"/>
      <c r="G44" s="71"/>
      <c r="H44" s="68"/>
      <c r="I44" s="61"/>
      <c r="J44" s="71"/>
      <c r="K44" s="71"/>
      <c r="L44" s="72"/>
      <c r="M44" s="72"/>
      <c r="N44" s="72"/>
      <c r="O44" s="35"/>
      <c r="P44" s="72"/>
      <c r="Q44" s="72"/>
      <c r="R44" s="62" t="str">
        <f t="shared" si="6"/>
        <v/>
      </c>
      <c r="S44" s="62" t="str">
        <f t="shared" si="7"/>
        <v/>
      </c>
      <c r="T44" s="73" t="str">
        <f t="shared" si="8"/>
        <v/>
      </c>
      <c r="U44" s="66" t="str">
        <f t="shared" ca="1" si="9"/>
        <v/>
      </c>
      <c r="V44" s="35"/>
      <c r="W44" s="35"/>
      <c r="X44" s="61"/>
      <c r="Y44" s="72"/>
      <c r="Z44" s="61"/>
      <c r="AA44" s="66" t="str">
        <f t="shared" si="10"/>
        <v/>
      </c>
      <c r="AB44" s="38" t="str">
        <f t="shared" si="11"/>
        <v/>
      </c>
      <c r="AC44" s="71"/>
    </row>
    <row r="45" spans="2:29" x14ac:dyDescent="0.3">
      <c r="B45" s="61"/>
      <c r="C45" s="61"/>
      <c r="D45" s="33" t="str">
        <f>IF($C45="","",IFERROR(INDEX('EQUIPMENT REGISTER'!$C$7:$C$21,MATCH($C45,'EQUIPMENT REGISTER'!$B$7:$B$21,0)),""))</f>
        <v/>
      </c>
      <c r="E45" s="61"/>
      <c r="F45" s="61"/>
      <c r="G45" s="71"/>
      <c r="H45" s="68"/>
      <c r="I45" s="61"/>
      <c r="J45" s="71"/>
      <c r="K45" s="71"/>
      <c r="L45" s="72"/>
      <c r="M45" s="72"/>
      <c r="N45" s="72"/>
      <c r="O45" s="35"/>
      <c r="P45" s="72"/>
      <c r="Q45" s="72"/>
      <c r="R45" s="62" t="str">
        <f t="shared" si="6"/>
        <v/>
      </c>
      <c r="S45" s="62" t="str">
        <f t="shared" si="7"/>
        <v/>
      </c>
      <c r="T45" s="73" t="str">
        <f t="shared" si="8"/>
        <v/>
      </c>
      <c r="U45" s="66" t="str">
        <f t="shared" ca="1" si="9"/>
        <v/>
      </c>
      <c r="V45" s="35"/>
      <c r="W45" s="35"/>
      <c r="X45" s="61"/>
      <c r="Y45" s="72"/>
      <c r="Z45" s="61"/>
      <c r="AA45" s="66" t="str">
        <f t="shared" si="10"/>
        <v/>
      </c>
      <c r="AB45" s="38" t="str">
        <f t="shared" si="11"/>
        <v/>
      </c>
      <c r="AC45" s="71"/>
    </row>
    <row r="46" spans="2:29" x14ac:dyDescent="0.3">
      <c r="B46" s="61"/>
      <c r="C46" s="61"/>
      <c r="D46" s="33" t="str">
        <f>IF($C46="","",IFERROR(INDEX('EQUIPMENT REGISTER'!$C$7:$C$21,MATCH($C46,'EQUIPMENT REGISTER'!$B$7:$B$21,0)),""))</f>
        <v/>
      </c>
      <c r="E46" s="61"/>
      <c r="F46" s="61"/>
      <c r="G46" s="71"/>
      <c r="H46" s="68"/>
      <c r="I46" s="61"/>
      <c r="J46" s="71"/>
      <c r="K46" s="71"/>
      <c r="L46" s="72"/>
      <c r="M46" s="72"/>
      <c r="N46" s="72"/>
      <c r="O46" s="35"/>
      <c r="P46" s="72"/>
      <c r="Q46" s="72"/>
      <c r="R46" s="62" t="str">
        <f t="shared" si="6"/>
        <v/>
      </c>
      <c r="S46" s="62" t="str">
        <f t="shared" si="7"/>
        <v/>
      </c>
      <c r="T46" s="73" t="str">
        <f t="shared" si="8"/>
        <v/>
      </c>
      <c r="U46" s="66" t="str">
        <f t="shared" ca="1" si="9"/>
        <v/>
      </c>
      <c r="V46" s="35"/>
      <c r="W46" s="35"/>
      <c r="X46" s="61"/>
      <c r="Y46" s="72"/>
      <c r="Z46" s="61"/>
      <c r="AA46" s="66" t="str">
        <f t="shared" si="10"/>
        <v/>
      </c>
      <c r="AB46" s="38" t="str">
        <f t="shared" si="11"/>
        <v/>
      </c>
      <c r="AC46" s="71"/>
    </row>
    <row r="47" spans="2:29" x14ac:dyDescent="0.3">
      <c r="B47" s="61"/>
      <c r="C47" s="61"/>
      <c r="D47" s="33" t="str">
        <f>IF($C47="","",IFERROR(INDEX('EQUIPMENT REGISTER'!$C$7:$C$21,MATCH($C47,'EQUIPMENT REGISTER'!$B$7:$B$21,0)),""))</f>
        <v/>
      </c>
      <c r="E47" s="61"/>
      <c r="F47" s="61"/>
      <c r="G47" s="71"/>
      <c r="H47" s="68"/>
      <c r="I47" s="61"/>
      <c r="J47" s="71"/>
      <c r="K47" s="71"/>
      <c r="L47" s="72"/>
      <c r="M47" s="72"/>
      <c r="N47" s="72"/>
      <c r="O47" s="35"/>
      <c r="P47" s="72"/>
      <c r="Q47" s="72"/>
      <c r="R47" s="62" t="str">
        <f t="shared" si="6"/>
        <v/>
      </c>
      <c r="S47" s="62" t="str">
        <f t="shared" si="7"/>
        <v/>
      </c>
      <c r="T47" s="73" t="str">
        <f t="shared" si="8"/>
        <v/>
      </c>
      <c r="U47" s="66" t="str">
        <f t="shared" ca="1" si="9"/>
        <v/>
      </c>
      <c r="V47" s="35"/>
      <c r="W47" s="35"/>
      <c r="X47" s="61"/>
      <c r="Y47" s="72"/>
      <c r="Z47" s="61"/>
      <c r="AA47" s="66" t="str">
        <f t="shared" si="10"/>
        <v/>
      </c>
      <c r="AB47" s="38" t="str">
        <f t="shared" si="11"/>
        <v/>
      </c>
      <c r="AC47" s="71"/>
    </row>
    <row r="48" spans="2:29" x14ac:dyDescent="0.3">
      <c r="B48" s="61"/>
      <c r="C48" s="61"/>
      <c r="D48" s="33" t="str">
        <f>IF($C48="","",IFERROR(INDEX('EQUIPMENT REGISTER'!$C$7:$C$21,MATCH($C48,'EQUIPMENT REGISTER'!$B$7:$B$21,0)),""))</f>
        <v/>
      </c>
      <c r="E48" s="61"/>
      <c r="F48" s="61"/>
      <c r="G48" s="71"/>
      <c r="H48" s="68"/>
      <c r="I48" s="61"/>
      <c r="J48" s="71"/>
      <c r="K48" s="71"/>
      <c r="L48" s="72"/>
      <c r="M48" s="72"/>
      <c r="N48" s="72"/>
      <c r="O48" s="35"/>
      <c r="P48" s="72"/>
      <c r="Q48" s="72"/>
      <c r="R48" s="62" t="str">
        <f t="shared" si="6"/>
        <v/>
      </c>
      <c r="S48" s="62" t="str">
        <f t="shared" si="7"/>
        <v/>
      </c>
      <c r="T48" s="73" t="str">
        <f t="shared" si="8"/>
        <v/>
      </c>
      <c r="U48" s="66" t="str">
        <f t="shared" ca="1" si="9"/>
        <v/>
      </c>
      <c r="V48" s="35"/>
      <c r="W48" s="35"/>
      <c r="X48" s="61"/>
      <c r="Y48" s="72"/>
      <c r="Z48" s="61"/>
      <c r="AA48" s="66" t="str">
        <f t="shared" si="10"/>
        <v/>
      </c>
      <c r="AB48" s="38" t="str">
        <f t="shared" si="11"/>
        <v/>
      </c>
      <c r="AC48" s="71"/>
    </row>
    <row r="49" spans="2:29" x14ac:dyDescent="0.3">
      <c r="B49" s="61"/>
      <c r="C49" s="61"/>
      <c r="D49" s="33" t="str">
        <f>IF($C49="","",IFERROR(INDEX('EQUIPMENT REGISTER'!$C$7:$C$21,MATCH($C49,'EQUIPMENT REGISTER'!$B$7:$B$21,0)),""))</f>
        <v/>
      </c>
      <c r="E49" s="61"/>
      <c r="F49" s="61"/>
      <c r="G49" s="71"/>
      <c r="H49" s="68"/>
      <c r="I49" s="61"/>
      <c r="J49" s="71"/>
      <c r="K49" s="71"/>
      <c r="L49" s="72"/>
      <c r="M49" s="72"/>
      <c r="N49" s="72"/>
      <c r="O49" s="35"/>
      <c r="P49" s="72"/>
      <c r="Q49" s="72"/>
      <c r="R49" s="62" t="str">
        <f t="shared" si="6"/>
        <v/>
      </c>
      <c r="S49" s="62" t="str">
        <f t="shared" si="7"/>
        <v/>
      </c>
      <c r="T49" s="73" t="str">
        <f t="shared" si="8"/>
        <v/>
      </c>
      <c r="U49" s="66" t="str">
        <f t="shared" ca="1" si="9"/>
        <v/>
      </c>
      <c r="V49" s="35"/>
      <c r="W49" s="35"/>
      <c r="X49" s="61"/>
      <c r="Y49" s="72"/>
      <c r="Z49" s="61"/>
      <c r="AA49" s="66" t="str">
        <f t="shared" si="10"/>
        <v/>
      </c>
      <c r="AB49" s="38" t="str">
        <f t="shared" si="11"/>
        <v/>
      </c>
      <c r="AC49" s="71"/>
    </row>
    <row r="50" spans="2:29" x14ac:dyDescent="0.3">
      <c r="B50" s="61"/>
      <c r="C50" s="61"/>
      <c r="D50" s="33" t="str">
        <f>IF($C50="","",IFERROR(INDEX('EQUIPMENT REGISTER'!$C$7:$C$21,MATCH($C50,'EQUIPMENT REGISTER'!$B$7:$B$21,0)),""))</f>
        <v/>
      </c>
      <c r="E50" s="61"/>
      <c r="F50" s="61"/>
      <c r="G50" s="71"/>
      <c r="H50" s="68"/>
      <c r="I50" s="61"/>
      <c r="J50" s="71"/>
      <c r="K50" s="71"/>
      <c r="L50" s="72"/>
      <c r="M50" s="72"/>
      <c r="N50" s="72"/>
      <c r="O50" s="35"/>
      <c r="P50" s="72"/>
      <c r="Q50" s="72"/>
      <c r="R50" s="62" t="str">
        <f t="shared" si="6"/>
        <v/>
      </c>
      <c r="S50" s="62" t="str">
        <f t="shared" si="7"/>
        <v/>
      </c>
      <c r="T50" s="73" t="str">
        <f t="shared" si="8"/>
        <v/>
      </c>
      <c r="U50" s="66" t="str">
        <f t="shared" ca="1" si="9"/>
        <v/>
      </c>
      <c r="V50" s="35"/>
      <c r="W50" s="35"/>
      <c r="X50" s="61"/>
      <c r="Y50" s="72"/>
      <c r="Z50" s="61"/>
      <c r="AA50" s="66" t="str">
        <f t="shared" si="10"/>
        <v/>
      </c>
      <c r="AB50" s="38" t="str">
        <f t="shared" si="11"/>
        <v/>
      </c>
      <c r="AC50" s="71"/>
    </row>
    <row r="51" spans="2:29" x14ac:dyDescent="0.3">
      <c r="B51" s="61"/>
      <c r="C51" s="61"/>
      <c r="D51" s="33" t="str">
        <f>IF($C51="","",IFERROR(INDEX('EQUIPMENT REGISTER'!$C$7:$C$21,MATCH($C51,'EQUIPMENT REGISTER'!$B$7:$B$21,0)),""))</f>
        <v/>
      </c>
      <c r="E51" s="61"/>
      <c r="F51" s="61"/>
      <c r="G51" s="71"/>
      <c r="H51" s="68"/>
      <c r="I51" s="61"/>
      <c r="J51" s="71"/>
      <c r="K51" s="71"/>
      <c r="L51" s="72"/>
      <c r="M51" s="72"/>
      <c r="N51" s="72"/>
      <c r="O51" s="35"/>
      <c r="P51" s="72"/>
      <c r="Q51" s="72"/>
      <c r="R51" s="62" t="str">
        <f t="shared" si="6"/>
        <v/>
      </c>
      <c r="S51" s="62" t="str">
        <f t="shared" si="7"/>
        <v/>
      </c>
      <c r="T51" s="73" t="str">
        <f t="shared" si="8"/>
        <v/>
      </c>
      <c r="U51" s="66" t="str">
        <f t="shared" ca="1" si="9"/>
        <v/>
      </c>
      <c r="V51" s="35"/>
      <c r="W51" s="35"/>
      <c r="X51" s="61"/>
      <c r="Y51" s="72"/>
      <c r="Z51" s="61"/>
      <c r="AA51" s="66" t="str">
        <f t="shared" si="10"/>
        <v/>
      </c>
      <c r="AB51" s="38" t="str">
        <f t="shared" si="11"/>
        <v/>
      </c>
      <c r="AC51" s="71"/>
    </row>
    <row r="52" spans="2:29" x14ac:dyDescent="0.3">
      <c r="B52" s="61"/>
      <c r="C52" s="61"/>
      <c r="D52" s="33" t="str">
        <f>IF($C52="","",IFERROR(INDEX('EQUIPMENT REGISTER'!$C$7:$C$21,MATCH($C52,'EQUIPMENT REGISTER'!$B$7:$B$21,0)),""))</f>
        <v/>
      </c>
      <c r="E52" s="61"/>
      <c r="F52" s="61"/>
      <c r="G52" s="71"/>
      <c r="H52" s="68"/>
      <c r="I52" s="61"/>
      <c r="J52" s="71"/>
      <c r="K52" s="71"/>
      <c r="L52" s="72"/>
      <c r="M52" s="72"/>
      <c r="N52" s="72"/>
      <c r="O52" s="35"/>
      <c r="P52" s="72"/>
      <c r="Q52" s="72"/>
      <c r="R52" s="62" t="str">
        <f t="shared" si="6"/>
        <v/>
      </c>
      <c r="S52" s="62" t="str">
        <f t="shared" si="7"/>
        <v/>
      </c>
      <c r="T52" s="73" t="str">
        <f t="shared" si="8"/>
        <v/>
      </c>
      <c r="U52" s="66" t="str">
        <f t="shared" ca="1" si="9"/>
        <v/>
      </c>
      <c r="V52" s="35"/>
      <c r="W52" s="35"/>
      <c r="X52" s="61"/>
      <c r="Y52" s="72"/>
      <c r="Z52" s="61"/>
      <c r="AA52" s="66" t="str">
        <f t="shared" si="10"/>
        <v/>
      </c>
      <c r="AB52" s="38" t="str">
        <f t="shared" si="11"/>
        <v/>
      </c>
      <c r="AC52" s="71"/>
    </row>
    <row r="53" spans="2:29" x14ac:dyDescent="0.3">
      <c r="B53" s="61"/>
      <c r="C53" s="61"/>
      <c r="D53" s="33" t="str">
        <f>IF($C53="","",IFERROR(INDEX('EQUIPMENT REGISTER'!$C$7:$C$21,MATCH($C53,'EQUIPMENT REGISTER'!$B$7:$B$21,0)),""))</f>
        <v/>
      </c>
      <c r="E53" s="61"/>
      <c r="F53" s="61"/>
      <c r="G53" s="71"/>
      <c r="H53" s="68"/>
      <c r="I53" s="61"/>
      <c r="J53" s="71"/>
      <c r="K53" s="71"/>
      <c r="L53" s="72"/>
      <c r="M53" s="72"/>
      <c r="N53" s="72"/>
      <c r="O53" s="35"/>
      <c r="P53" s="72"/>
      <c r="Q53" s="72"/>
      <c r="R53" s="62" t="str">
        <f t="shared" si="6"/>
        <v/>
      </c>
      <c r="S53" s="62" t="str">
        <f t="shared" si="7"/>
        <v/>
      </c>
      <c r="T53" s="73" t="str">
        <f t="shared" si="8"/>
        <v/>
      </c>
      <c r="U53" s="66" t="str">
        <f t="shared" ca="1" si="9"/>
        <v/>
      </c>
      <c r="V53" s="35"/>
      <c r="W53" s="35"/>
      <c r="X53" s="61"/>
      <c r="Y53" s="72"/>
      <c r="Z53" s="61"/>
      <c r="AA53" s="66" t="str">
        <f t="shared" si="10"/>
        <v/>
      </c>
      <c r="AB53" s="38" t="str">
        <f t="shared" si="11"/>
        <v/>
      </c>
      <c r="AC53" s="71"/>
    </row>
    <row r="54" spans="2:29" x14ac:dyDescent="0.3">
      <c r="B54" s="61"/>
      <c r="C54" s="61"/>
      <c r="D54" s="33" t="str">
        <f>IF($C54="","",IFERROR(INDEX('EQUIPMENT REGISTER'!$C$7:$C$21,MATCH($C54,'EQUIPMENT REGISTER'!$B$7:$B$21,0)),""))</f>
        <v/>
      </c>
      <c r="E54" s="61"/>
      <c r="F54" s="61"/>
      <c r="G54" s="71"/>
      <c r="H54" s="68"/>
      <c r="I54" s="61"/>
      <c r="J54" s="71"/>
      <c r="K54" s="71"/>
      <c r="L54" s="72"/>
      <c r="M54" s="72"/>
      <c r="N54" s="72"/>
      <c r="O54" s="35"/>
      <c r="P54" s="72"/>
      <c r="Q54" s="72"/>
      <c r="R54" s="62" t="str">
        <f t="shared" si="6"/>
        <v/>
      </c>
      <c r="S54" s="62" t="str">
        <f t="shared" si="7"/>
        <v/>
      </c>
      <c r="T54" s="73" t="str">
        <f t="shared" si="8"/>
        <v/>
      </c>
      <c r="U54" s="66" t="str">
        <f t="shared" ca="1" si="9"/>
        <v/>
      </c>
      <c r="V54" s="35"/>
      <c r="W54" s="35"/>
      <c r="X54" s="61"/>
      <c r="Y54" s="72"/>
      <c r="Z54" s="61"/>
      <c r="AA54" s="66" t="str">
        <f t="shared" si="10"/>
        <v/>
      </c>
      <c r="AB54" s="38" t="str">
        <f t="shared" si="11"/>
        <v/>
      </c>
      <c r="AC54" s="71"/>
    </row>
    <row r="55" spans="2:29" x14ac:dyDescent="0.3">
      <c r="B55" s="61"/>
      <c r="C55" s="61"/>
      <c r="D55" s="33" t="str">
        <f>IF($C55="","",IFERROR(INDEX('EQUIPMENT REGISTER'!$C$7:$C$21,MATCH($C55,'EQUIPMENT REGISTER'!$B$7:$B$21,0)),""))</f>
        <v/>
      </c>
      <c r="E55" s="61"/>
      <c r="F55" s="61"/>
      <c r="G55" s="71"/>
      <c r="H55" s="68"/>
      <c r="I55" s="61"/>
      <c r="J55" s="71"/>
      <c r="K55" s="71"/>
      <c r="L55" s="72"/>
      <c r="M55" s="72"/>
      <c r="N55" s="72"/>
      <c r="O55" s="35"/>
      <c r="P55" s="72"/>
      <c r="Q55" s="72"/>
      <c r="R55" s="62" t="str">
        <f t="shared" si="6"/>
        <v/>
      </c>
      <c r="S55" s="62" t="str">
        <f t="shared" si="7"/>
        <v/>
      </c>
      <c r="T55" s="73" t="str">
        <f t="shared" si="8"/>
        <v/>
      </c>
      <c r="U55" s="66" t="str">
        <f t="shared" ca="1" si="9"/>
        <v/>
      </c>
      <c r="V55" s="35"/>
      <c r="W55" s="35"/>
      <c r="X55" s="61"/>
      <c r="Y55" s="72"/>
      <c r="Z55" s="61"/>
      <c r="AA55" s="66" t="str">
        <f t="shared" si="10"/>
        <v/>
      </c>
      <c r="AB55" s="38" t="str">
        <f t="shared" si="11"/>
        <v/>
      </c>
      <c r="AC55" s="71"/>
    </row>
    <row r="56" spans="2:29" x14ac:dyDescent="0.3">
      <c r="B56" s="61"/>
      <c r="C56" s="61"/>
      <c r="D56" s="33" t="str">
        <f>IF($C56="","",IFERROR(INDEX('EQUIPMENT REGISTER'!$C$7:$C$21,MATCH($C56,'EQUIPMENT REGISTER'!$B$7:$B$21,0)),""))</f>
        <v/>
      </c>
      <c r="E56" s="61"/>
      <c r="F56" s="61"/>
      <c r="G56" s="71"/>
      <c r="H56" s="68"/>
      <c r="I56" s="61"/>
      <c r="J56" s="71"/>
      <c r="K56" s="71"/>
      <c r="L56" s="72"/>
      <c r="M56" s="72"/>
      <c r="N56" s="72"/>
      <c r="O56" s="35"/>
      <c r="P56" s="72"/>
      <c r="Q56" s="72"/>
      <c r="R56" s="62" t="str">
        <f t="shared" si="6"/>
        <v/>
      </c>
      <c r="S56" s="62" t="str">
        <f t="shared" si="7"/>
        <v/>
      </c>
      <c r="T56" s="73" t="str">
        <f t="shared" si="8"/>
        <v/>
      </c>
      <c r="U56" s="66" t="str">
        <f t="shared" ca="1" si="9"/>
        <v/>
      </c>
      <c r="V56" s="35"/>
      <c r="W56" s="35"/>
      <c r="X56" s="61"/>
      <c r="Y56" s="72"/>
      <c r="Z56" s="61"/>
      <c r="AA56" s="66" t="str">
        <f t="shared" si="10"/>
        <v/>
      </c>
      <c r="AB56" s="38" t="str">
        <f t="shared" si="11"/>
        <v/>
      </c>
      <c r="AC56" s="71"/>
    </row>
    <row r="57" spans="2:29" x14ac:dyDescent="0.3">
      <c r="B57" s="61"/>
      <c r="C57" s="61"/>
      <c r="D57" s="33" t="str">
        <f>IF($C57="","",IFERROR(INDEX('EQUIPMENT REGISTER'!$C$7:$C$21,MATCH($C57,'EQUIPMENT REGISTER'!$B$7:$B$21,0)),""))</f>
        <v/>
      </c>
      <c r="E57" s="61"/>
      <c r="F57" s="61"/>
      <c r="G57" s="71"/>
      <c r="H57" s="68"/>
      <c r="I57" s="61"/>
      <c r="J57" s="71"/>
      <c r="K57" s="71"/>
      <c r="L57" s="72"/>
      <c r="M57" s="72"/>
      <c r="N57" s="72"/>
      <c r="O57" s="35"/>
      <c r="P57" s="72"/>
      <c r="Q57" s="72"/>
      <c r="R57" s="62" t="str">
        <f t="shared" si="6"/>
        <v/>
      </c>
      <c r="S57" s="62" t="str">
        <f t="shared" si="7"/>
        <v/>
      </c>
      <c r="T57" s="73" t="str">
        <f t="shared" si="8"/>
        <v/>
      </c>
      <c r="U57" s="66" t="str">
        <f t="shared" ca="1" si="9"/>
        <v/>
      </c>
      <c r="V57" s="35"/>
      <c r="W57" s="35"/>
      <c r="X57" s="61"/>
      <c r="Y57" s="72"/>
      <c r="Z57" s="61"/>
      <c r="AA57" s="66" t="str">
        <f t="shared" si="10"/>
        <v/>
      </c>
      <c r="AB57" s="38" t="str">
        <f t="shared" si="11"/>
        <v/>
      </c>
      <c r="AC57" s="71"/>
    </row>
    <row r="58" spans="2:29" x14ac:dyDescent="0.3">
      <c r="B58" s="61"/>
      <c r="C58" s="61"/>
      <c r="D58" s="33" t="str">
        <f>IF($C58="","",IFERROR(INDEX('EQUIPMENT REGISTER'!$C$7:$C$21,MATCH($C58,'EQUIPMENT REGISTER'!$B$7:$B$21,0)),""))</f>
        <v/>
      </c>
      <c r="E58" s="61"/>
      <c r="F58" s="61"/>
      <c r="G58" s="71"/>
      <c r="H58" s="68"/>
      <c r="I58" s="61"/>
      <c r="J58" s="71"/>
      <c r="K58" s="71"/>
      <c r="L58" s="72"/>
      <c r="M58" s="72"/>
      <c r="N58" s="72"/>
      <c r="O58" s="35"/>
      <c r="P58" s="72"/>
      <c r="Q58" s="72"/>
      <c r="R58" s="62" t="str">
        <f t="shared" si="6"/>
        <v/>
      </c>
      <c r="S58" s="62" t="str">
        <f t="shared" si="7"/>
        <v/>
      </c>
      <c r="T58" s="73" t="str">
        <f t="shared" si="8"/>
        <v/>
      </c>
      <c r="U58" s="66" t="str">
        <f t="shared" ca="1" si="9"/>
        <v/>
      </c>
      <c r="V58" s="35"/>
      <c r="W58" s="35"/>
      <c r="X58" s="61"/>
      <c r="Y58" s="72"/>
      <c r="Z58" s="61"/>
      <c r="AA58" s="66" t="str">
        <f t="shared" si="10"/>
        <v/>
      </c>
      <c r="AB58" s="38" t="str">
        <f t="shared" si="11"/>
        <v/>
      </c>
      <c r="AC58" s="71"/>
    </row>
    <row r="59" spans="2:29" x14ac:dyDescent="0.3">
      <c r="B59" s="61"/>
      <c r="C59" s="61"/>
      <c r="D59" s="33" t="str">
        <f>IF($C59="","",IFERROR(INDEX('EQUIPMENT REGISTER'!$C$7:$C$21,MATCH($C59,'EQUIPMENT REGISTER'!$B$7:$B$21,0)),""))</f>
        <v/>
      </c>
      <c r="E59" s="61"/>
      <c r="F59" s="61"/>
      <c r="G59" s="71"/>
      <c r="H59" s="68"/>
      <c r="I59" s="61"/>
      <c r="J59" s="71"/>
      <c r="K59" s="71"/>
      <c r="L59" s="72"/>
      <c r="M59" s="72"/>
      <c r="N59" s="72"/>
      <c r="O59" s="35"/>
      <c r="P59" s="72"/>
      <c r="Q59" s="72"/>
      <c r="R59" s="62" t="str">
        <f t="shared" si="6"/>
        <v/>
      </c>
      <c r="S59" s="62" t="str">
        <f t="shared" si="7"/>
        <v/>
      </c>
      <c r="T59" s="73" t="str">
        <f t="shared" si="8"/>
        <v/>
      </c>
      <c r="U59" s="66" t="str">
        <f t="shared" ca="1" si="9"/>
        <v/>
      </c>
      <c r="V59" s="35"/>
      <c r="W59" s="35"/>
      <c r="X59" s="61"/>
      <c r="Y59" s="72"/>
      <c r="Z59" s="61"/>
      <c r="AA59" s="66" t="str">
        <f t="shared" si="10"/>
        <v/>
      </c>
      <c r="AB59" s="38" t="str">
        <f t="shared" si="11"/>
        <v/>
      </c>
      <c r="AC59" s="71"/>
    </row>
    <row r="60" spans="2:29" x14ac:dyDescent="0.3">
      <c r="B60" s="61"/>
      <c r="C60" s="61"/>
      <c r="D60" s="33" t="str">
        <f>IF($C60="","",IFERROR(INDEX('EQUIPMENT REGISTER'!$C$7:$C$21,MATCH($C60,'EQUIPMENT REGISTER'!$B$7:$B$21,0)),""))</f>
        <v/>
      </c>
      <c r="E60" s="61"/>
      <c r="F60" s="61"/>
      <c r="G60" s="71"/>
      <c r="H60" s="68"/>
      <c r="I60" s="61"/>
      <c r="J60" s="71"/>
      <c r="K60" s="71"/>
      <c r="L60" s="72"/>
      <c r="M60" s="72"/>
      <c r="N60" s="72"/>
      <c r="O60" s="35"/>
      <c r="P60" s="72"/>
      <c r="Q60" s="72"/>
      <c r="R60" s="62" t="str">
        <f t="shared" si="6"/>
        <v/>
      </c>
      <c r="S60" s="62" t="str">
        <f t="shared" si="7"/>
        <v/>
      </c>
      <c r="T60" s="73" t="str">
        <f t="shared" si="8"/>
        <v/>
      </c>
      <c r="U60" s="66" t="str">
        <f t="shared" ca="1" si="9"/>
        <v/>
      </c>
      <c r="V60" s="35"/>
      <c r="W60" s="35"/>
      <c r="X60" s="61"/>
      <c r="Y60" s="72"/>
      <c r="Z60" s="61"/>
      <c r="AA60" s="66" t="str">
        <f t="shared" si="10"/>
        <v/>
      </c>
      <c r="AB60" s="38" t="str">
        <f t="shared" si="11"/>
        <v/>
      </c>
      <c r="AC60" s="71"/>
    </row>
    <row r="61" spans="2:29" x14ac:dyDescent="0.3">
      <c r="B61" s="61"/>
      <c r="C61" s="61"/>
      <c r="D61" s="33" t="str">
        <f>IF($C61="","",IFERROR(INDEX('EQUIPMENT REGISTER'!$C$7:$C$21,MATCH($C61,'EQUIPMENT REGISTER'!$B$7:$B$21,0)),""))</f>
        <v/>
      </c>
      <c r="E61" s="61"/>
      <c r="F61" s="61"/>
      <c r="G61" s="71"/>
      <c r="H61" s="68"/>
      <c r="I61" s="61"/>
      <c r="J61" s="71"/>
      <c r="K61" s="71"/>
      <c r="L61" s="72"/>
      <c r="M61" s="72"/>
      <c r="N61" s="72"/>
      <c r="O61" s="35"/>
      <c r="P61" s="72"/>
      <c r="Q61" s="72"/>
      <c r="R61" s="62" t="str">
        <f t="shared" si="6"/>
        <v/>
      </c>
      <c r="S61" s="62" t="str">
        <f t="shared" si="7"/>
        <v/>
      </c>
      <c r="T61" s="73" t="str">
        <f t="shared" si="8"/>
        <v/>
      </c>
      <c r="U61" s="66" t="str">
        <f t="shared" ca="1" si="9"/>
        <v/>
      </c>
      <c r="V61" s="35"/>
      <c r="W61" s="35"/>
      <c r="X61" s="61"/>
      <c r="Y61" s="72"/>
      <c r="Z61" s="61"/>
      <c r="AA61" s="66" t="str">
        <f t="shared" si="10"/>
        <v/>
      </c>
      <c r="AB61" s="38" t="str">
        <f t="shared" si="11"/>
        <v/>
      </c>
      <c r="AC61" s="71"/>
    </row>
    <row r="62" spans="2:29" x14ac:dyDescent="0.3">
      <c r="B62" s="61"/>
      <c r="C62" s="61"/>
      <c r="D62" s="33" t="str">
        <f>IF($C62="","",IFERROR(INDEX('EQUIPMENT REGISTER'!$C$7:$C$21,MATCH($C62,'EQUIPMENT REGISTER'!$B$7:$B$21,0)),""))</f>
        <v/>
      </c>
      <c r="E62" s="61"/>
      <c r="F62" s="61"/>
      <c r="G62" s="71"/>
      <c r="H62" s="68"/>
      <c r="I62" s="61"/>
      <c r="J62" s="71"/>
      <c r="K62" s="71"/>
      <c r="L62" s="72"/>
      <c r="M62" s="72"/>
      <c r="N62" s="72"/>
      <c r="O62" s="35"/>
      <c r="P62" s="72"/>
      <c r="Q62" s="72"/>
      <c r="R62" s="62" t="str">
        <f t="shared" si="6"/>
        <v/>
      </c>
      <c r="S62" s="62" t="str">
        <f t="shared" si="7"/>
        <v/>
      </c>
      <c r="T62" s="73" t="str">
        <f t="shared" si="8"/>
        <v/>
      </c>
      <c r="U62" s="66" t="str">
        <f t="shared" ca="1" si="9"/>
        <v/>
      </c>
      <c r="V62" s="35"/>
      <c r="W62" s="35"/>
      <c r="X62" s="61"/>
      <c r="Y62" s="72"/>
      <c r="Z62" s="61"/>
      <c r="AA62" s="66" t="str">
        <f t="shared" si="10"/>
        <v/>
      </c>
      <c r="AB62" s="38" t="str">
        <f t="shared" si="11"/>
        <v/>
      </c>
      <c r="AC62" s="71"/>
    </row>
    <row r="63" spans="2:29" x14ac:dyDescent="0.3">
      <c r="B63" s="61"/>
      <c r="C63" s="61"/>
      <c r="D63" s="33" t="str">
        <f>IF($C63="","",IFERROR(INDEX('EQUIPMENT REGISTER'!$C$7:$C$21,MATCH($C63,'EQUIPMENT REGISTER'!$B$7:$B$21,0)),""))</f>
        <v/>
      </c>
      <c r="E63" s="61"/>
      <c r="F63" s="61"/>
      <c r="G63" s="71"/>
      <c r="H63" s="68"/>
      <c r="I63" s="61"/>
      <c r="J63" s="71"/>
      <c r="K63" s="71"/>
      <c r="L63" s="72"/>
      <c r="M63" s="72"/>
      <c r="N63" s="72"/>
      <c r="O63" s="35"/>
      <c r="P63" s="72"/>
      <c r="Q63" s="72"/>
      <c r="R63" s="62" t="str">
        <f t="shared" si="6"/>
        <v/>
      </c>
      <c r="S63" s="62" t="str">
        <f t="shared" si="7"/>
        <v/>
      </c>
      <c r="T63" s="73" t="str">
        <f t="shared" si="8"/>
        <v/>
      </c>
      <c r="U63" s="66" t="str">
        <f t="shared" ca="1" si="9"/>
        <v/>
      </c>
      <c r="V63" s="35"/>
      <c r="W63" s="35"/>
      <c r="X63" s="61"/>
      <c r="Y63" s="72"/>
      <c r="Z63" s="61"/>
      <c r="AA63" s="66" t="str">
        <f t="shared" si="10"/>
        <v/>
      </c>
      <c r="AB63" s="38" t="str">
        <f t="shared" si="11"/>
        <v/>
      </c>
      <c r="AC63" s="71"/>
    </row>
    <row r="64" spans="2:29" x14ac:dyDescent="0.3">
      <c r="B64" s="61"/>
      <c r="C64" s="61"/>
      <c r="D64" s="33" t="str">
        <f>IF($C64="","",IFERROR(INDEX('EQUIPMENT REGISTER'!$C$7:$C$21,MATCH($C64,'EQUIPMENT REGISTER'!$B$7:$B$21,0)),""))</f>
        <v/>
      </c>
      <c r="E64" s="61"/>
      <c r="F64" s="61"/>
      <c r="G64" s="71"/>
      <c r="H64" s="68"/>
      <c r="I64" s="61"/>
      <c r="J64" s="71"/>
      <c r="K64" s="71"/>
      <c r="L64" s="72"/>
      <c r="M64" s="72"/>
      <c r="N64" s="72"/>
      <c r="O64" s="35"/>
      <c r="P64" s="72"/>
      <c r="Q64" s="72"/>
      <c r="R64" s="62" t="str">
        <f t="shared" si="6"/>
        <v/>
      </c>
      <c r="S64" s="62" t="str">
        <f t="shared" si="7"/>
        <v/>
      </c>
      <c r="T64" s="73" t="str">
        <f t="shared" si="8"/>
        <v/>
      </c>
      <c r="U64" s="66" t="str">
        <f t="shared" ca="1" si="9"/>
        <v/>
      </c>
      <c r="V64" s="35"/>
      <c r="W64" s="35"/>
      <c r="X64" s="61"/>
      <c r="Y64" s="72"/>
      <c r="Z64" s="61"/>
      <c r="AA64" s="66" t="str">
        <f t="shared" si="10"/>
        <v/>
      </c>
      <c r="AB64" s="38" t="str">
        <f t="shared" si="11"/>
        <v/>
      </c>
      <c r="AC64" s="71"/>
    </row>
    <row r="65" spans="2:29" x14ac:dyDescent="0.3">
      <c r="B65" s="61"/>
      <c r="C65" s="61"/>
      <c r="D65" s="33" t="str">
        <f>IF($C65="","",IFERROR(INDEX('EQUIPMENT REGISTER'!$C$7:$C$21,MATCH($C65,'EQUIPMENT REGISTER'!$B$7:$B$21,0)),""))</f>
        <v/>
      </c>
      <c r="E65" s="61"/>
      <c r="F65" s="61"/>
      <c r="G65" s="71"/>
      <c r="H65" s="68"/>
      <c r="I65" s="61"/>
      <c r="J65" s="71"/>
      <c r="K65" s="71"/>
      <c r="L65" s="72"/>
      <c r="M65" s="72"/>
      <c r="N65" s="72"/>
      <c r="O65" s="35"/>
      <c r="P65" s="72"/>
      <c r="Q65" s="72"/>
      <c r="R65" s="62" t="str">
        <f t="shared" si="6"/>
        <v/>
      </c>
      <c r="S65" s="62" t="str">
        <f t="shared" si="7"/>
        <v/>
      </c>
      <c r="T65" s="73" t="str">
        <f t="shared" si="8"/>
        <v/>
      </c>
      <c r="U65" s="66" t="str">
        <f t="shared" ca="1" si="9"/>
        <v/>
      </c>
      <c r="V65" s="35"/>
      <c r="W65" s="35"/>
      <c r="X65" s="61"/>
      <c r="Y65" s="72"/>
      <c r="Z65" s="61"/>
      <c r="AA65" s="66" t="str">
        <f t="shared" si="10"/>
        <v/>
      </c>
      <c r="AB65" s="38" t="str">
        <f t="shared" si="11"/>
        <v/>
      </c>
      <c r="AC65" s="71"/>
    </row>
    <row r="66" spans="2:29" x14ac:dyDescent="0.3">
      <c r="B66" s="61"/>
      <c r="C66" s="61"/>
      <c r="D66" s="33" t="str">
        <f>IF($C66="","",IFERROR(INDEX('EQUIPMENT REGISTER'!$C$7:$C$21,MATCH($C66,'EQUIPMENT REGISTER'!$B$7:$B$21,0)),""))</f>
        <v/>
      </c>
      <c r="E66" s="61"/>
      <c r="F66" s="61"/>
      <c r="G66" s="71"/>
      <c r="H66" s="68"/>
      <c r="I66" s="61"/>
      <c r="J66" s="71"/>
      <c r="K66" s="71"/>
      <c r="L66" s="72"/>
      <c r="M66" s="72"/>
      <c r="N66" s="72"/>
      <c r="O66" s="35"/>
      <c r="P66" s="72"/>
      <c r="Q66" s="72"/>
      <c r="R66" s="62" t="str">
        <f t="shared" si="6"/>
        <v/>
      </c>
      <c r="S66" s="62" t="str">
        <f t="shared" si="7"/>
        <v/>
      </c>
      <c r="T66" s="73" t="str">
        <f t="shared" si="8"/>
        <v/>
      </c>
      <c r="U66" s="66" t="str">
        <f t="shared" ca="1" si="9"/>
        <v/>
      </c>
      <c r="V66" s="35"/>
      <c r="W66" s="35"/>
      <c r="X66" s="61"/>
      <c r="Y66" s="72"/>
      <c r="Z66" s="61"/>
      <c r="AA66" s="66" t="str">
        <f t="shared" si="10"/>
        <v/>
      </c>
      <c r="AB66" s="38" t="str">
        <f t="shared" si="11"/>
        <v/>
      </c>
      <c r="AC66" s="71"/>
    </row>
    <row r="67" spans="2:29" x14ac:dyDescent="0.3">
      <c r="B67" s="61"/>
      <c r="C67" s="61"/>
      <c r="D67" s="33" t="str">
        <f>IF($C67="","",IFERROR(INDEX('EQUIPMENT REGISTER'!$C$7:$C$21,MATCH($C67,'EQUIPMENT REGISTER'!$B$7:$B$21,0)),""))</f>
        <v/>
      </c>
      <c r="E67" s="61"/>
      <c r="F67" s="61"/>
      <c r="G67" s="71"/>
      <c r="H67" s="68"/>
      <c r="I67" s="61"/>
      <c r="J67" s="71"/>
      <c r="K67" s="71"/>
      <c r="L67" s="72"/>
      <c r="M67" s="72"/>
      <c r="N67" s="72"/>
      <c r="O67" s="35"/>
      <c r="P67" s="72"/>
      <c r="Q67" s="72"/>
      <c r="R67" s="62" t="str">
        <f t="shared" si="6"/>
        <v/>
      </c>
      <c r="S67" s="62" t="str">
        <f t="shared" si="7"/>
        <v/>
      </c>
      <c r="T67" s="73" t="str">
        <f t="shared" si="8"/>
        <v/>
      </c>
      <c r="U67" s="66" t="str">
        <f t="shared" ca="1" si="9"/>
        <v/>
      </c>
      <c r="V67" s="35"/>
      <c r="W67" s="35"/>
      <c r="X67" s="61"/>
      <c r="Y67" s="72"/>
      <c r="Z67" s="61"/>
      <c r="AA67" s="66" t="str">
        <f t="shared" si="10"/>
        <v/>
      </c>
      <c r="AB67" s="38" t="str">
        <f t="shared" si="11"/>
        <v/>
      </c>
      <c r="AC67" s="71"/>
    </row>
    <row r="68" spans="2:29" x14ac:dyDescent="0.3">
      <c r="B68" s="61"/>
      <c r="C68" s="61"/>
      <c r="D68" s="33" t="str">
        <f>IF($C68="","",IFERROR(INDEX('EQUIPMENT REGISTER'!$C$7:$C$21,MATCH($C68,'EQUIPMENT REGISTER'!$B$7:$B$21,0)),""))</f>
        <v/>
      </c>
      <c r="E68" s="61"/>
      <c r="F68" s="61"/>
      <c r="G68" s="71"/>
      <c r="H68" s="68"/>
      <c r="I68" s="61"/>
      <c r="J68" s="71"/>
      <c r="K68" s="71"/>
      <c r="L68" s="72"/>
      <c r="M68" s="72"/>
      <c r="N68" s="72"/>
      <c r="O68" s="35"/>
      <c r="P68" s="72"/>
      <c r="Q68" s="72"/>
      <c r="R68" s="62" t="str">
        <f t="shared" si="6"/>
        <v/>
      </c>
      <c r="S68" s="62" t="str">
        <f t="shared" si="7"/>
        <v/>
      </c>
      <c r="T68" s="73" t="str">
        <f t="shared" si="8"/>
        <v/>
      </c>
      <c r="U68" s="66" t="str">
        <f t="shared" ca="1" si="9"/>
        <v/>
      </c>
      <c r="V68" s="35"/>
      <c r="W68" s="35"/>
      <c r="X68" s="61"/>
      <c r="Y68" s="72"/>
      <c r="Z68" s="61"/>
      <c r="AA68" s="66" t="str">
        <f t="shared" si="10"/>
        <v/>
      </c>
      <c r="AB68" s="38" t="str">
        <f t="shared" si="11"/>
        <v/>
      </c>
      <c r="AC68" s="71"/>
    </row>
    <row r="69" spans="2:29" x14ac:dyDescent="0.3">
      <c r="B69" s="61"/>
      <c r="C69" s="61"/>
      <c r="D69" s="33" t="str">
        <f>IF($C69="","",IFERROR(INDEX('EQUIPMENT REGISTER'!$C$7:$C$21,MATCH($C69,'EQUIPMENT REGISTER'!$B$7:$B$21,0)),""))</f>
        <v/>
      </c>
      <c r="E69" s="61"/>
      <c r="F69" s="61"/>
      <c r="G69" s="71"/>
      <c r="H69" s="68"/>
      <c r="I69" s="61"/>
      <c r="J69" s="71"/>
      <c r="K69" s="71"/>
      <c r="L69" s="72"/>
      <c r="M69" s="72"/>
      <c r="N69" s="72"/>
      <c r="O69" s="35"/>
      <c r="P69" s="72"/>
      <c r="Q69" s="72"/>
      <c r="R69" s="62" t="str">
        <f t="shared" si="6"/>
        <v/>
      </c>
      <c r="S69" s="62" t="str">
        <f t="shared" si="7"/>
        <v/>
      </c>
      <c r="T69" s="73" t="str">
        <f t="shared" si="8"/>
        <v/>
      </c>
      <c r="U69" s="66" t="str">
        <f t="shared" ca="1" si="9"/>
        <v/>
      </c>
      <c r="V69" s="35"/>
      <c r="W69" s="35"/>
      <c r="X69" s="61"/>
      <c r="Y69" s="72"/>
      <c r="Z69" s="61"/>
      <c r="AA69" s="66" t="str">
        <f t="shared" si="10"/>
        <v/>
      </c>
      <c r="AB69" s="38" t="str">
        <f t="shared" si="11"/>
        <v/>
      </c>
      <c r="AC69" s="71"/>
    </row>
    <row r="70" spans="2:29" x14ac:dyDescent="0.3">
      <c r="B70" s="61"/>
      <c r="C70" s="61"/>
      <c r="D70" s="33" t="str">
        <f>IF($C70="","",IFERROR(INDEX('EQUIPMENT REGISTER'!$C$7:$C$21,MATCH($C70,'EQUIPMENT REGISTER'!$B$7:$B$21,0)),""))</f>
        <v/>
      </c>
      <c r="E70" s="61"/>
      <c r="F70" s="61"/>
      <c r="G70" s="71"/>
      <c r="H70" s="68"/>
      <c r="I70" s="61"/>
      <c r="J70" s="71"/>
      <c r="K70" s="71"/>
      <c r="L70" s="72"/>
      <c r="M70" s="72"/>
      <c r="N70" s="72"/>
      <c r="O70" s="35"/>
      <c r="P70" s="72"/>
      <c r="Q70" s="72"/>
      <c r="R70" s="62" t="str">
        <f t="shared" si="6"/>
        <v/>
      </c>
      <c r="S70" s="62" t="str">
        <f t="shared" si="7"/>
        <v/>
      </c>
      <c r="T70" s="73" t="str">
        <f t="shared" si="8"/>
        <v/>
      </c>
      <c r="U70" s="66" t="str">
        <f t="shared" ca="1" si="9"/>
        <v/>
      </c>
      <c r="V70" s="35"/>
      <c r="W70" s="35"/>
      <c r="X70" s="61"/>
      <c r="Y70" s="72"/>
      <c r="Z70" s="61"/>
      <c r="AA70" s="66" t="str">
        <f t="shared" si="10"/>
        <v/>
      </c>
      <c r="AB70" s="38" t="str">
        <f t="shared" si="11"/>
        <v/>
      </c>
      <c r="AC70" s="71"/>
    </row>
    <row r="71" spans="2:29" x14ac:dyDescent="0.3">
      <c r="B71" s="61"/>
      <c r="C71" s="61"/>
      <c r="D71" s="33" t="str">
        <f>IF($C71="","",IFERROR(INDEX('EQUIPMENT REGISTER'!$C$7:$C$21,MATCH($C71,'EQUIPMENT REGISTER'!$B$7:$B$21,0)),""))</f>
        <v/>
      </c>
      <c r="E71" s="61"/>
      <c r="F71" s="61"/>
      <c r="G71" s="71"/>
      <c r="H71" s="68"/>
      <c r="I71" s="61"/>
      <c r="J71" s="71"/>
      <c r="K71" s="71"/>
      <c r="L71" s="72"/>
      <c r="M71" s="72"/>
      <c r="N71" s="72"/>
      <c r="O71" s="35"/>
      <c r="P71" s="72"/>
      <c r="Q71" s="72"/>
      <c r="R71" s="62" t="str">
        <f t="shared" si="6"/>
        <v/>
      </c>
      <c r="S71" s="62" t="str">
        <f t="shared" si="7"/>
        <v/>
      </c>
      <c r="T71" s="73" t="str">
        <f t="shared" si="8"/>
        <v/>
      </c>
      <c r="U71" s="66" t="str">
        <f t="shared" ca="1" si="9"/>
        <v/>
      </c>
      <c r="V71" s="35"/>
      <c r="W71" s="35"/>
      <c r="X71" s="61"/>
      <c r="Y71" s="72"/>
      <c r="Z71" s="61"/>
      <c r="AA71" s="66" t="str">
        <f t="shared" si="10"/>
        <v/>
      </c>
      <c r="AB71" s="38" t="str">
        <f t="shared" si="11"/>
        <v/>
      </c>
      <c r="AC71" s="71"/>
    </row>
    <row r="72" spans="2:29" x14ac:dyDescent="0.3">
      <c r="B72" s="61"/>
      <c r="C72" s="61"/>
      <c r="D72" s="33" t="str">
        <f>IF($C72="","",IFERROR(INDEX('EQUIPMENT REGISTER'!$C$7:$C$21,MATCH($C72,'EQUIPMENT REGISTER'!$B$7:$B$21,0)),""))</f>
        <v/>
      </c>
      <c r="E72" s="61"/>
      <c r="F72" s="61"/>
      <c r="G72" s="71"/>
      <c r="H72" s="68"/>
      <c r="I72" s="61"/>
      <c r="J72" s="71"/>
      <c r="K72" s="71"/>
      <c r="L72" s="72"/>
      <c r="M72" s="72"/>
      <c r="N72" s="72"/>
      <c r="O72" s="35"/>
      <c r="P72" s="72"/>
      <c r="Q72" s="72"/>
      <c r="R72" s="62" t="str">
        <f t="shared" ref="R72:R107" si="12">IF(OR($N72="",$Q72=""),"",ROUND(MAX(0,($Q72-$N72)*24),2))</f>
        <v/>
      </c>
      <c r="S72" s="62" t="str">
        <f t="shared" ref="S72:S107" si="13">IF(OR($R72="",$O72=""),"",$R72-$O72)</f>
        <v/>
      </c>
      <c r="T72" s="73" t="str">
        <f t="shared" ref="T72:T107" si="14">IF(OR($S72="",N($O72)=0),"",$S72/$O72)</f>
        <v/>
      </c>
      <c r="U72" s="66" t="str">
        <f t="shared" ref="U72:U107" ca="1" si="15">IF($P72="","",IF($Q72="",IF(NOW()&gt;$P72,"OVERDUE","IN WINDOW"),IF($Q72&lt;=$P72,"MET","MISSED")))</f>
        <v/>
      </c>
      <c r="V72" s="35"/>
      <c r="W72" s="35"/>
      <c r="X72" s="61"/>
      <c r="Y72" s="72"/>
      <c r="Z72" s="61"/>
      <c r="AA72" s="66" t="str">
        <f t="shared" ref="AA72:AA107" si="16">IF($C72="","",IF(COUNTIFS($C$8:$C$107,$C72,$F$8:$F$107,$F72)&gt;1,"REPEAT",""))</f>
        <v/>
      </c>
      <c r="AB72" s="38" t="str">
        <f t="shared" ref="AB72:AB107" si="17">IF($C72="","",IF(OR($U72="MISSED",$U72="OVERDUE",$AA72="REPEAT"),"RED",IF(OR(N($S72)&gt;0,$Z72="Open"),"AMBER","GREEN")))</f>
        <v/>
      </c>
      <c r="AC72" s="71"/>
    </row>
    <row r="73" spans="2:29" x14ac:dyDescent="0.3">
      <c r="B73" s="61"/>
      <c r="C73" s="61"/>
      <c r="D73" s="33" t="str">
        <f>IF($C73="","",IFERROR(INDEX('EQUIPMENT REGISTER'!$C$7:$C$21,MATCH($C73,'EQUIPMENT REGISTER'!$B$7:$B$21,0)),""))</f>
        <v/>
      </c>
      <c r="E73" s="61"/>
      <c r="F73" s="61"/>
      <c r="G73" s="71"/>
      <c r="H73" s="68"/>
      <c r="I73" s="61"/>
      <c r="J73" s="71"/>
      <c r="K73" s="71"/>
      <c r="L73" s="72"/>
      <c r="M73" s="72"/>
      <c r="N73" s="72"/>
      <c r="O73" s="35"/>
      <c r="P73" s="72"/>
      <c r="Q73" s="72"/>
      <c r="R73" s="62" t="str">
        <f t="shared" si="12"/>
        <v/>
      </c>
      <c r="S73" s="62" t="str">
        <f t="shared" si="13"/>
        <v/>
      </c>
      <c r="T73" s="73" t="str">
        <f t="shared" si="14"/>
        <v/>
      </c>
      <c r="U73" s="66" t="str">
        <f t="shared" ca="1" si="15"/>
        <v/>
      </c>
      <c r="V73" s="35"/>
      <c r="W73" s="35"/>
      <c r="X73" s="61"/>
      <c r="Y73" s="72"/>
      <c r="Z73" s="61"/>
      <c r="AA73" s="66" t="str">
        <f t="shared" si="16"/>
        <v/>
      </c>
      <c r="AB73" s="38" t="str">
        <f t="shared" si="17"/>
        <v/>
      </c>
      <c r="AC73" s="71"/>
    </row>
    <row r="74" spans="2:29" x14ac:dyDescent="0.3">
      <c r="B74" s="61"/>
      <c r="C74" s="61"/>
      <c r="D74" s="33" t="str">
        <f>IF($C74="","",IFERROR(INDEX('EQUIPMENT REGISTER'!$C$7:$C$21,MATCH($C74,'EQUIPMENT REGISTER'!$B$7:$B$21,0)),""))</f>
        <v/>
      </c>
      <c r="E74" s="61"/>
      <c r="F74" s="61"/>
      <c r="G74" s="71"/>
      <c r="H74" s="68"/>
      <c r="I74" s="61"/>
      <c r="J74" s="71"/>
      <c r="K74" s="71"/>
      <c r="L74" s="72"/>
      <c r="M74" s="72"/>
      <c r="N74" s="72"/>
      <c r="O74" s="35"/>
      <c r="P74" s="72"/>
      <c r="Q74" s="72"/>
      <c r="R74" s="62" t="str">
        <f t="shared" si="12"/>
        <v/>
      </c>
      <c r="S74" s="62" t="str">
        <f t="shared" si="13"/>
        <v/>
      </c>
      <c r="T74" s="73" t="str">
        <f t="shared" si="14"/>
        <v/>
      </c>
      <c r="U74" s="66" t="str">
        <f t="shared" ca="1" si="15"/>
        <v/>
      </c>
      <c r="V74" s="35"/>
      <c r="W74" s="35"/>
      <c r="X74" s="61"/>
      <c r="Y74" s="72"/>
      <c r="Z74" s="61"/>
      <c r="AA74" s="66" t="str">
        <f t="shared" si="16"/>
        <v/>
      </c>
      <c r="AB74" s="38" t="str">
        <f t="shared" si="17"/>
        <v/>
      </c>
      <c r="AC74" s="71"/>
    </row>
    <row r="75" spans="2:29" x14ac:dyDescent="0.3">
      <c r="B75" s="61"/>
      <c r="C75" s="61"/>
      <c r="D75" s="33" t="str">
        <f>IF($C75="","",IFERROR(INDEX('EQUIPMENT REGISTER'!$C$7:$C$21,MATCH($C75,'EQUIPMENT REGISTER'!$B$7:$B$21,0)),""))</f>
        <v/>
      </c>
      <c r="E75" s="61"/>
      <c r="F75" s="61"/>
      <c r="G75" s="71"/>
      <c r="H75" s="68"/>
      <c r="I75" s="61"/>
      <c r="J75" s="71"/>
      <c r="K75" s="71"/>
      <c r="L75" s="72"/>
      <c r="M75" s="72"/>
      <c r="N75" s="72"/>
      <c r="O75" s="35"/>
      <c r="P75" s="72"/>
      <c r="Q75" s="72"/>
      <c r="R75" s="62" t="str">
        <f t="shared" si="12"/>
        <v/>
      </c>
      <c r="S75" s="62" t="str">
        <f t="shared" si="13"/>
        <v/>
      </c>
      <c r="T75" s="73" t="str">
        <f t="shared" si="14"/>
        <v/>
      </c>
      <c r="U75" s="66" t="str">
        <f t="shared" ca="1" si="15"/>
        <v/>
      </c>
      <c r="V75" s="35"/>
      <c r="W75" s="35"/>
      <c r="X75" s="61"/>
      <c r="Y75" s="72"/>
      <c r="Z75" s="61"/>
      <c r="AA75" s="66" t="str">
        <f t="shared" si="16"/>
        <v/>
      </c>
      <c r="AB75" s="38" t="str">
        <f t="shared" si="17"/>
        <v/>
      </c>
      <c r="AC75" s="71"/>
    </row>
    <row r="76" spans="2:29" x14ac:dyDescent="0.3">
      <c r="B76" s="61"/>
      <c r="C76" s="61"/>
      <c r="D76" s="33" t="str">
        <f>IF($C76="","",IFERROR(INDEX('EQUIPMENT REGISTER'!$C$7:$C$21,MATCH($C76,'EQUIPMENT REGISTER'!$B$7:$B$21,0)),""))</f>
        <v/>
      </c>
      <c r="E76" s="61"/>
      <c r="F76" s="61"/>
      <c r="G76" s="71"/>
      <c r="H76" s="68"/>
      <c r="I76" s="61"/>
      <c r="J76" s="71"/>
      <c r="K76" s="71"/>
      <c r="L76" s="72"/>
      <c r="M76" s="72"/>
      <c r="N76" s="72"/>
      <c r="O76" s="35"/>
      <c r="P76" s="72"/>
      <c r="Q76" s="72"/>
      <c r="R76" s="62" t="str">
        <f t="shared" si="12"/>
        <v/>
      </c>
      <c r="S76" s="62" t="str">
        <f t="shared" si="13"/>
        <v/>
      </c>
      <c r="T76" s="73" t="str">
        <f t="shared" si="14"/>
        <v/>
      </c>
      <c r="U76" s="66" t="str">
        <f t="shared" ca="1" si="15"/>
        <v/>
      </c>
      <c r="V76" s="35"/>
      <c r="W76" s="35"/>
      <c r="X76" s="61"/>
      <c r="Y76" s="72"/>
      <c r="Z76" s="61"/>
      <c r="AA76" s="66" t="str">
        <f t="shared" si="16"/>
        <v/>
      </c>
      <c r="AB76" s="38" t="str">
        <f t="shared" si="17"/>
        <v/>
      </c>
      <c r="AC76" s="71"/>
    </row>
    <row r="77" spans="2:29" x14ac:dyDescent="0.3">
      <c r="B77" s="61"/>
      <c r="C77" s="61"/>
      <c r="D77" s="33" t="str">
        <f>IF($C77="","",IFERROR(INDEX('EQUIPMENT REGISTER'!$C$7:$C$21,MATCH($C77,'EQUIPMENT REGISTER'!$B$7:$B$21,0)),""))</f>
        <v/>
      </c>
      <c r="E77" s="61"/>
      <c r="F77" s="61"/>
      <c r="G77" s="71"/>
      <c r="H77" s="68"/>
      <c r="I77" s="61"/>
      <c r="J77" s="71"/>
      <c r="K77" s="71"/>
      <c r="L77" s="72"/>
      <c r="M77" s="72"/>
      <c r="N77" s="72"/>
      <c r="O77" s="35"/>
      <c r="P77" s="72"/>
      <c r="Q77" s="72"/>
      <c r="R77" s="62" t="str">
        <f t="shared" si="12"/>
        <v/>
      </c>
      <c r="S77" s="62" t="str">
        <f t="shared" si="13"/>
        <v/>
      </c>
      <c r="T77" s="73" t="str">
        <f t="shared" si="14"/>
        <v/>
      </c>
      <c r="U77" s="66" t="str">
        <f t="shared" ca="1" si="15"/>
        <v/>
      </c>
      <c r="V77" s="35"/>
      <c r="W77" s="35"/>
      <c r="X77" s="61"/>
      <c r="Y77" s="72"/>
      <c r="Z77" s="61"/>
      <c r="AA77" s="66" t="str">
        <f t="shared" si="16"/>
        <v/>
      </c>
      <c r="AB77" s="38" t="str">
        <f t="shared" si="17"/>
        <v/>
      </c>
      <c r="AC77" s="71"/>
    </row>
    <row r="78" spans="2:29" x14ac:dyDescent="0.3">
      <c r="B78" s="61"/>
      <c r="C78" s="61"/>
      <c r="D78" s="33" t="str">
        <f>IF($C78="","",IFERROR(INDEX('EQUIPMENT REGISTER'!$C$7:$C$21,MATCH($C78,'EQUIPMENT REGISTER'!$B$7:$B$21,0)),""))</f>
        <v/>
      </c>
      <c r="E78" s="61"/>
      <c r="F78" s="61"/>
      <c r="G78" s="71"/>
      <c r="H78" s="68"/>
      <c r="I78" s="61"/>
      <c r="J78" s="71"/>
      <c r="K78" s="71"/>
      <c r="L78" s="72"/>
      <c r="M78" s="72"/>
      <c r="N78" s="72"/>
      <c r="O78" s="35"/>
      <c r="P78" s="72"/>
      <c r="Q78" s="72"/>
      <c r="R78" s="62" t="str">
        <f t="shared" si="12"/>
        <v/>
      </c>
      <c r="S78" s="62" t="str">
        <f t="shared" si="13"/>
        <v/>
      </c>
      <c r="T78" s="73" t="str">
        <f t="shared" si="14"/>
        <v/>
      </c>
      <c r="U78" s="66" t="str">
        <f t="shared" ca="1" si="15"/>
        <v/>
      </c>
      <c r="V78" s="35"/>
      <c r="W78" s="35"/>
      <c r="X78" s="61"/>
      <c r="Y78" s="72"/>
      <c r="Z78" s="61"/>
      <c r="AA78" s="66" t="str">
        <f t="shared" si="16"/>
        <v/>
      </c>
      <c r="AB78" s="38" t="str">
        <f t="shared" si="17"/>
        <v/>
      </c>
      <c r="AC78" s="71"/>
    </row>
    <row r="79" spans="2:29" x14ac:dyDescent="0.3">
      <c r="B79" s="61"/>
      <c r="C79" s="61"/>
      <c r="D79" s="33" t="str">
        <f>IF($C79="","",IFERROR(INDEX('EQUIPMENT REGISTER'!$C$7:$C$21,MATCH($C79,'EQUIPMENT REGISTER'!$B$7:$B$21,0)),""))</f>
        <v/>
      </c>
      <c r="E79" s="61"/>
      <c r="F79" s="61"/>
      <c r="G79" s="71"/>
      <c r="H79" s="68"/>
      <c r="I79" s="61"/>
      <c r="J79" s="71"/>
      <c r="K79" s="71"/>
      <c r="L79" s="72"/>
      <c r="M79" s="72"/>
      <c r="N79" s="72"/>
      <c r="O79" s="35"/>
      <c r="P79" s="72"/>
      <c r="Q79" s="72"/>
      <c r="R79" s="62" t="str">
        <f t="shared" si="12"/>
        <v/>
      </c>
      <c r="S79" s="62" t="str">
        <f t="shared" si="13"/>
        <v/>
      </c>
      <c r="T79" s="73" t="str">
        <f t="shared" si="14"/>
        <v/>
      </c>
      <c r="U79" s="66" t="str">
        <f t="shared" ca="1" si="15"/>
        <v/>
      </c>
      <c r="V79" s="35"/>
      <c r="W79" s="35"/>
      <c r="X79" s="61"/>
      <c r="Y79" s="72"/>
      <c r="Z79" s="61"/>
      <c r="AA79" s="66" t="str">
        <f t="shared" si="16"/>
        <v/>
      </c>
      <c r="AB79" s="38" t="str">
        <f t="shared" si="17"/>
        <v/>
      </c>
      <c r="AC79" s="71"/>
    </row>
    <row r="80" spans="2:29" x14ac:dyDescent="0.3">
      <c r="B80" s="61"/>
      <c r="C80" s="61"/>
      <c r="D80" s="33" t="str">
        <f>IF($C80="","",IFERROR(INDEX('EQUIPMENT REGISTER'!$C$7:$C$21,MATCH($C80,'EQUIPMENT REGISTER'!$B$7:$B$21,0)),""))</f>
        <v/>
      </c>
      <c r="E80" s="61"/>
      <c r="F80" s="61"/>
      <c r="G80" s="71"/>
      <c r="H80" s="68"/>
      <c r="I80" s="61"/>
      <c r="J80" s="71"/>
      <c r="K80" s="71"/>
      <c r="L80" s="72"/>
      <c r="M80" s="72"/>
      <c r="N80" s="72"/>
      <c r="O80" s="35"/>
      <c r="P80" s="72"/>
      <c r="Q80" s="72"/>
      <c r="R80" s="62" t="str">
        <f t="shared" si="12"/>
        <v/>
      </c>
      <c r="S80" s="62" t="str">
        <f t="shared" si="13"/>
        <v/>
      </c>
      <c r="T80" s="73" t="str">
        <f t="shared" si="14"/>
        <v/>
      </c>
      <c r="U80" s="66" t="str">
        <f t="shared" ca="1" si="15"/>
        <v/>
      </c>
      <c r="V80" s="35"/>
      <c r="W80" s="35"/>
      <c r="X80" s="61"/>
      <c r="Y80" s="72"/>
      <c r="Z80" s="61"/>
      <c r="AA80" s="66" t="str">
        <f t="shared" si="16"/>
        <v/>
      </c>
      <c r="AB80" s="38" t="str">
        <f t="shared" si="17"/>
        <v/>
      </c>
      <c r="AC80" s="71"/>
    </row>
    <row r="81" spans="2:29" x14ac:dyDescent="0.3">
      <c r="B81" s="61"/>
      <c r="C81" s="61"/>
      <c r="D81" s="33" t="str">
        <f>IF($C81="","",IFERROR(INDEX('EQUIPMENT REGISTER'!$C$7:$C$21,MATCH($C81,'EQUIPMENT REGISTER'!$B$7:$B$21,0)),""))</f>
        <v/>
      </c>
      <c r="E81" s="61"/>
      <c r="F81" s="61"/>
      <c r="G81" s="71"/>
      <c r="H81" s="68"/>
      <c r="I81" s="61"/>
      <c r="J81" s="71"/>
      <c r="K81" s="71"/>
      <c r="L81" s="72"/>
      <c r="M81" s="72"/>
      <c r="N81" s="72"/>
      <c r="O81" s="35"/>
      <c r="P81" s="72"/>
      <c r="Q81" s="72"/>
      <c r="R81" s="62" t="str">
        <f t="shared" si="12"/>
        <v/>
      </c>
      <c r="S81" s="62" t="str">
        <f t="shared" si="13"/>
        <v/>
      </c>
      <c r="T81" s="73" t="str">
        <f t="shared" si="14"/>
        <v/>
      </c>
      <c r="U81" s="66" t="str">
        <f t="shared" ca="1" si="15"/>
        <v/>
      </c>
      <c r="V81" s="35"/>
      <c r="W81" s="35"/>
      <c r="X81" s="61"/>
      <c r="Y81" s="72"/>
      <c r="Z81" s="61"/>
      <c r="AA81" s="66" t="str">
        <f t="shared" si="16"/>
        <v/>
      </c>
      <c r="AB81" s="38" t="str">
        <f t="shared" si="17"/>
        <v/>
      </c>
      <c r="AC81" s="71"/>
    </row>
    <row r="82" spans="2:29" x14ac:dyDescent="0.3">
      <c r="B82" s="61"/>
      <c r="C82" s="61"/>
      <c r="D82" s="33" t="str">
        <f>IF($C82="","",IFERROR(INDEX('EQUIPMENT REGISTER'!$C$7:$C$21,MATCH($C82,'EQUIPMENT REGISTER'!$B$7:$B$21,0)),""))</f>
        <v/>
      </c>
      <c r="E82" s="61"/>
      <c r="F82" s="61"/>
      <c r="G82" s="71"/>
      <c r="H82" s="68"/>
      <c r="I82" s="61"/>
      <c r="J82" s="71"/>
      <c r="K82" s="71"/>
      <c r="L82" s="72"/>
      <c r="M82" s="72"/>
      <c r="N82" s="72"/>
      <c r="O82" s="35"/>
      <c r="P82" s="72"/>
      <c r="Q82" s="72"/>
      <c r="R82" s="62" t="str">
        <f t="shared" si="12"/>
        <v/>
      </c>
      <c r="S82" s="62" t="str">
        <f t="shared" si="13"/>
        <v/>
      </c>
      <c r="T82" s="73" t="str">
        <f t="shared" si="14"/>
        <v/>
      </c>
      <c r="U82" s="66" t="str">
        <f t="shared" ca="1" si="15"/>
        <v/>
      </c>
      <c r="V82" s="35"/>
      <c r="W82" s="35"/>
      <c r="X82" s="61"/>
      <c r="Y82" s="72"/>
      <c r="Z82" s="61"/>
      <c r="AA82" s="66" t="str">
        <f t="shared" si="16"/>
        <v/>
      </c>
      <c r="AB82" s="38" t="str">
        <f t="shared" si="17"/>
        <v/>
      </c>
      <c r="AC82" s="71"/>
    </row>
    <row r="83" spans="2:29" x14ac:dyDescent="0.3">
      <c r="B83" s="61"/>
      <c r="C83" s="61"/>
      <c r="D83" s="33" t="str">
        <f>IF($C83="","",IFERROR(INDEX('EQUIPMENT REGISTER'!$C$7:$C$21,MATCH($C83,'EQUIPMENT REGISTER'!$B$7:$B$21,0)),""))</f>
        <v/>
      </c>
      <c r="E83" s="61"/>
      <c r="F83" s="61"/>
      <c r="G83" s="71"/>
      <c r="H83" s="68"/>
      <c r="I83" s="61"/>
      <c r="J83" s="71"/>
      <c r="K83" s="71"/>
      <c r="L83" s="72"/>
      <c r="M83" s="72"/>
      <c r="N83" s="72"/>
      <c r="O83" s="35"/>
      <c r="P83" s="72"/>
      <c r="Q83" s="72"/>
      <c r="R83" s="62" t="str">
        <f t="shared" si="12"/>
        <v/>
      </c>
      <c r="S83" s="62" t="str">
        <f t="shared" si="13"/>
        <v/>
      </c>
      <c r="T83" s="73" t="str">
        <f t="shared" si="14"/>
        <v/>
      </c>
      <c r="U83" s="66" t="str">
        <f t="shared" ca="1" si="15"/>
        <v/>
      </c>
      <c r="V83" s="35"/>
      <c r="W83" s="35"/>
      <c r="X83" s="61"/>
      <c r="Y83" s="72"/>
      <c r="Z83" s="61"/>
      <c r="AA83" s="66" t="str">
        <f t="shared" si="16"/>
        <v/>
      </c>
      <c r="AB83" s="38" t="str">
        <f t="shared" si="17"/>
        <v/>
      </c>
      <c r="AC83" s="71"/>
    </row>
    <row r="84" spans="2:29" x14ac:dyDescent="0.3">
      <c r="B84" s="61"/>
      <c r="C84" s="61"/>
      <c r="D84" s="33" t="str">
        <f>IF($C84="","",IFERROR(INDEX('EQUIPMENT REGISTER'!$C$7:$C$21,MATCH($C84,'EQUIPMENT REGISTER'!$B$7:$B$21,0)),""))</f>
        <v/>
      </c>
      <c r="E84" s="61"/>
      <c r="F84" s="61"/>
      <c r="G84" s="71"/>
      <c r="H84" s="68"/>
      <c r="I84" s="61"/>
      <c r="J84" s="71"/>
      <c r="K84" s="71"/>
      <c r="L84" s="72"/>
      <c r="M84" s="72"/>
      <c r="N84" s="72"/>
      <c r="O84" s="35"/>
      <c r="P84" s="72"/>
      <c r="Q84" s="72"/>
      <c r="R84" s="62" t="str">
        <f t="shared" si="12"/>
        <v/>
      </c>
      <c r="S84" s="62" t="str">
        <f t="shared" si="13"/>
        <v/>
      </c>
      <c r="T84" s="73" t="str">
        <f t="shared" si="14"/>
        <v/>
      </c>
      <c r="U84" s="66" t="str">
        <f t="shared" ca="1" si="15"/>
        <v/>
      </c>
      <c r="V84" s="35"/>
      <c r="W84" s="35"/>
      <c r="X84" s="61"/>
      <c r="Y84" s="72"/>
      <c r="Z84" s="61"/>
      <c r="AA84" s="66" t="str">
        <f t="shared" si="16"/>
        <v/>
      </c>
      <c r="AB84" s="38" t="str">
        <f t="shared" si="17"/>
        <v/>
      </c>
      <c r="AC84" s="71"/>
    </row>
    <row r="85" spans="2:29" x14ac:dyDescent="0.3">
      <c r="B85" s="61"/>
      <c r="C85" s="61"/>
      <c r="D85" s="33" t="str">
        <f>IF($C85="","",IFERROR(INDEX('EQUIPMENT REGISTER'!$C$7:$C$21,MATCH($C85,'EQUIPMENT REGISTER'!$B$7:$B$21,0)),""))</f>
        <v/>
      </c>
      <c r="E85" s="61"/>
      <c r="F85" s="61"/>
      <c r="G85" s="71"/>
      <c r="H85" s="68"/>
      <c r="I85" s="61"/>
      <c r="J85" s="71"/>
      <c r="K85" s="71"/>
      <c r="L85" s="72"/>
      <c r="M85" s="72"/>
      <c r="N85" s="72"/>
      <c r="O85" s="35"/>
      <c r="P85" s="72"/>
      <c r="Q85" s="72"/>
      <c r="R85" s="62" t="str">
        <f t="shared" si="12"/>
        <v/>
      </c>
      <c r="S85" s="62" t="str">
        <f t="shared" si="13"/>
        <v/>
      </c>
      <c r="T85" s="73" t="str">
        <f t="shared" si="14"/>
        <v/>
      </c>
      <c r="U85" s="66" t="str">
        <f t="shared" ca="1" si="15"/>
        <v/>
      </c>
      <c r="V85" s="35"/>
      <c r="W85" s="35"/>
      <c r="X85" s="61"/>
      <c r="Y85" s="72"/>
      <c r="Z85" s="61"/>
      <c r="AA85" s="66" t="str">
        <f t="shared" si="16"/>
        <v/>
      </c>
      <c r="AB85" s="38" t="str">
        <f t="shared" si="17"/>
        <v/>
      </c>
      <c r="AC85" s="71"/>
    </row>
    <row r="86" spans="2:29" x14ac:dyDescent="0.3">
      <c r="B86" s="61"/>
      <c r="C86" s="61"/>
      <c r="D86" s="33" t="str">
        <f>IF($C86="","",IFERROR(INDEX('EQUIPMENT REGISTER'!$C$7:$C$21,MATCH($C86,'EQUIPMENT REGISTER'!$B$7:$B$21,0)),""))</f>
        <v/>
      </c>
      <c r="E86" s="61"/>
      <c r="F86" s="61"/>
      <c r="G86" s="71"/>
      <c r="H86" s="68"/>
      <c r="I86" s="61"/>
      <c r="J86" s="71"/>
      <c r="K86" s="71"/>
      <c r="L86" s="72"/>
      <c r="M86" s="72"/>
      <c r="N86" s="72"/>
      <c r="O86" s="35"/>
      <c r="P86" s="72"/>
      <c r="Q86" s="72"/>
      <c r="R86" s="62" t="str">
        <f t="shared" si="12"/>
        <v/>
      </c>
      <c r="S86" s="62" t="str">
        <f t="shared" si="13"/>
        <v/>
      </c>
      <c r="T86" s="73" t="str">
        <f t="shared" si="14"/>
        <v/>
      </c>
      <c r="U86" s="66" t="str">
        <f t="shared" ca="1" si="15"/>
        <v/>
      </c>
      <c r="V86" s="35"/>
      <c r="W86" s="35"/>
      <c r="X86" s="61"/>
      <c r="Y86" s="72"/>
      <c r="Z86" s="61"/>
      <c r="AA86" s="66" t="str">
        <f t="shared" si="16"/>
        <v/>
      </c>
      <c r="AB86" s="38" t="str">
        <f t="shared" si="17"/>
        <v/>
      </c>
      <c r="AC86" s="71"/>
    </row>
    <row r="87" spans="2:29" x14ac:dyDescent="0.3">
      <c r="B87" s="61"/>
      <c r="C87" s="61"/>
      <c r="D87" s="33" t="str">
        <f>IF($C87="","",IFERROR(INDEX('EQUIPMENT REGISTER'!$C$7:$C$21,MATCH($C87,'EQUIPMENT REGISTER'!$B$7:$B$21,0)),""))</f>
        <v/>
      </c>
      <c r="E87" s="61"/>
      <c r="F87" s="61"/>
      <c r="G87" s="71"/>
      <c r="H87" s="68"/>
      <c r="I87" s="61"/>
      <c r="J87" s="71"/>
      <c r="K87" s="71"/>
      <c r="L87" s="72"/>
      <c r="M87" s="72"/>
      <c r="N87" s="72"/>
      <c r="O87" s="35"/>
      <c r="P87" s="72"/>
      <c r="Q87" s="72"/>
      <c r="R87" s="62" t="str">
        <f t="shared" si="12"/>
        <v/>
      </c>
      <c r="S87" s="62" t="str">
        <f t="shared" si="13"/>
        <v/>
      </c>
      <c r="T87" s="73" t="str">
        <f t="shared" si="14"/>
        <v/>
      </c>
      <c r="U87" s="66" t="str">
        <f t="shared" ca="1" si="15"/>
        <v/>
      </c>
      <c r="V87" s="35"/>
      <c r="W87" s="35"/>
      <c r="X87" s="61"/>
      <c r="Y87" s="72"/>
      <c r="Z87" s="61"/>
      <c r="AA87" s="66" t="str">
        <f t="shared" si="16"/>
        <v/>
      </c>
      <c r="AB87" s="38" t="str">
        <f t="shared" si="17"/>
        <v/>
      </c>
      <c r="AC87" s="71"/>
    </row>
    <row r="88" spans="2:29" x14ac:dyDescent="0.3">
      <c r="B88" s="61"/>
      <c r="C88" s="61"/>
      <c r="D88" s="33" t="str">
        <f>IF($C88="","",IFERROR(INDEX('EQUIPMENT REGISTER'!$C$7:$C$21,MATCH($C88,'EQUIPMENT REGISTER'!$B$7:$B$21,0)),""))</f>
        <v/>
      </c>
      <c r="E88" s="61"/>
      <c r="F88" s="61"/>
      <c r="G88" s="71"/>
      <c r="H88" s="68"/>
      <c r="I88" s="61"/>
      <c r="J88" s="71"/>
      <c r="K88" s="71"/>
      <c r="L88" s="72"/>
      <c r="M88" s="72"/>
      <c r="N88" s="72"/>
      <c r="O88" s="35"/>
      <c r="P88" s="72"/>
      <c r="Q88" s="72"/>
      <c r="R88" s="62" t="str">
        <f t="shared" si="12"/>
        <v/>
      </c>
      <c r="S88" s="62" t="str">
        <f t="shared" si="13"/>
        <v/>
      </c>
      <c r="T88" s="73" t="str">
        <f t="shared" si="14"/>
        <v/>
      </c>
      <c r="U88" s="66" t="str">
        <f t="shared" ca="1" si="15"/>
        <v/>
      </c>
      <c r="V88" s="35"/>
      <c r="W88" s="35"/>
      <c r="X88" s="61"/>
      <c r="Y88" s="72"/>
      <c r="Z88" s="61"/>
      <c r="AA88" s="66" t="str">
        <f t="shared" si="16"/>
        <v/>
      </c>
      <c r="AB88" s="38" t="str">
        <f t="shared" si="17"/>
        <v/>
      </c>
      <c r="AC88" s="71"/>
    </row>
    <row r="89" spans="2:29" x14ac:dyDescent="0.3">
      <c r="B89" s="61"/>
      <c r="C89" s="61"/>
      <c r="D89" s="33" t="str">
        <f>IF($C89="","",IFERROR(INDEX('EQUIPMENT REGISTER'!$C$7:$C$21,MATCH($C89,'EQUIPMENT REGISTER'!$B$7:$B$21,0)),""))</f>
        <v/>
      </c>
      <c r="E89" s="61"/>
      <c r="F89" s="61"/>
      <c r="G89" s="71"/>
      <c r="H89" s="68"/>
      <c r="I89" s="61"/>
      <c r="J89" s="71"/>
      <c r="K89" s="71"/>
      <c r="L89" s="72"/>
      <c r="M89" s="72"/>
      <c r="N89" s="72"/>
      <c r="O89" s="35"/>
      <c r="P89" s="72"/>
      <c r="Q89" s="72"/>
      <c r="R89" s="62" t="str">
        <f t="shared" si="12"/>
        <v/>
      </c>
      <c r="S89" s="62" t="str">
        <f t="shared" si="13"/>
        <v/>
      </c>
      <c r="T89" s="73" t="str">
        <f t="shared" si="14"/>
        <v/>
      </c>
      <c r="U89" s="66" t="str">
        <f t="shared" ca="1" si="15"/>
        <v/>
      </c>
      <c r="V89" s="35"/>
      <c r="W89" s="35"/>
      <c r="X89" s="61"/>
      <c r="Y89" s="72"/>
      <c r="Z89" s="61"/>
      <c r="AA89" s="66" t="str">
        <f t="shared" si="16"/>
        <v/>
      </c>
      <c r="AB89" s="38" t="str">
        <f t="shared" si="17"/>
        <v/>
      </c>
      <c r="AC89" s="71"/>
    </row>
    <row r="90" spans="2:29" x14ac:dyDescent="0.3">
      <c r="B90" s="61"/>
      <c r="C90" s="61"/>
      <c r="D90" s="33" t="str">
        <f>IF($C90="","",IFERROR(INDEX('EQUIPMENT REGISTER'!$C$7:$C$21,MATCH($C90,'EQUIPMENT REGISTER'!$B$7:$B$21,0)),""))</f>
        <v/>
      </c>
      <c r="E90" s="61"/>
      <c r="F90" s="61"/>
      <c r="G90" s="71"/>
      <c r="H90" s="68"/>
      <c r="I90" s="61"/>
      <c r="J90" s="71"/>
      <c r="K90" s="71"/>
      <c r="L90" s="72"/>
      <c r="M90" s="72"/>
      <c r="N90" s="72"/>
      <c r="O90" s="35"/>
      <c r="P90" s="72"/>
      <c r="Q90" s="72"/>
      <c r="R90" s="62" t="str">
        <f t="shared" si="12"/>
        <v/>
      </c>
      <c r="S90" s="62" t="str">
        <f t="shared" si="13"/>
        <v/>
      </c>
      <c r="T90" s="73" t="str">
        <f t="shared" si="14"/>
        <v/>
      </c>
      <c r="U90" s="66" t="str">
        <f t="shared" ca="1" si="15"/>
        <v/>
      </c>
      <c r="V90" s="35"/>
      <c r="W90" s="35"/>
      <c r="X90" s="61"/>
      <c r="Y90" s="72"/>
      <c r="Z90" s="61"/>
      <c r="AA90" s="66" t="str">
        <f t="shared" si="16"/>
        <v/>
      </c>
      <c r="AB90" s="38" t="str">
        <f t="shared" si="17"/>
        <v/>
      </c>
      <c r="AC90" s="71"/>
    </row>
    <row r="91" spans="2:29" x14ac:dyDescent="0.3">
      <c r="B91" s="61"/>
      <c r="C91" s="61"/>
      <c r="D91" s="33" t="str">
        <f>IF($C91="","",IFERROR(INDEX('EQUIPMENT REGISTER'!$C$7:$C$21,MATCH($C91,'EQUIPMENT REGISTER'!$B$7:$B$21,0)),""))</f>
        <v/>
      </c>
      <c r="E91" s="61"/>
      <c r="F91" s="61"/>
      <c r="G91" s="71"/>
      <c r="H91" s="68"/>
      <c r="I91" s="61"/>
      <c r="J91" s="71"/>
      <c r="K91" s="71"/>
      <c r="L91" s="72"/>
      <c r="M91" s="72"/>
      <c r="N91" s="72"/>
      <c r="O91" s="35"/>
      <c r="P91" s="72"/>
      <c r="Q91" s="72"/>
      <c r="R91" s="62" t="str">
        <f t="shared" si="12"/>
        <v/>
      </c>
      <c r="S91" s="62" t="str">
        <f t="shared" si="13"/>
        <v/>
      </c>
      <c r="T91" s="73" t="str">
        <f t="shared" si="14"/>
        <v/>
      </c>
      <c r="U91" s="66" t="str">
        <f t="shared" ca="1" si="15"/>
        <v/>
      </c>
      <c r="V91" s="35"/>
      <c r="W91" s="35"/>
      <c r="X91" s="61"/>
      <c r="Y91" s="72"/>
      <c r="Z91" s="61"/>
      <c r="AA91" s="66" t="str">
        <f t="shared" si="16"/>
        <v/>
      </c>
      <c r="AB91" s="38" t="str">
        <f t="shared" si="17"/>
        <v/>
      </c>
      <c r="AC91" s="71"/>
    </row>
    <row r="92" spans="2:29" x14ac:dyDescent="0.3">
      <c r="B92" s="61"/>
      <c r="C92" s="61"/>
      <c r="D92" s="33" t="str">
        <f>IF($C92="","",IFERROR(INDEX('EQUIPMENT REGISTER'!$C$7:$C$21,MATCH($C92,'EQUIPMENT REGISTER'!$B$7:$B$21,0)),""))</f>
        <v/>
      </c>
      <c r="E92" s="61"/>
      <c r="F92" s="61"/>
      <c r="G92" s="71"/>
      <c r="H92" s="68"/>
      <c r="I92" s="61"/>
      <c r="J92" s="71"/>
      <c r="K92" s="71"/>
      <c r="L92" s="72"/>
      <c r="M92" s="72"/>
      <c r="N92" s="72"/>
      <c r="O92" s="35"/>
      <c r="P92" s="72"/>
      <c r="Q92" s="72"/>
      <c r="R92" s="62" t="str">
        <f t="shared" si="12"/>
        <v/>
      </c>
      <c r="S92" s="62" t="str">
        <f t="shared" si="13"/>
        <v/>
      </c>
      <c r="T92" s="73" t="str">
        <f t="shared" si="14"/>
        <v/>
      </c>
      <c r="U92" s="66" t="str">
        <f t="shared" ca="1" si="15"/>
        <v/>
      </c>
      <c r="V92" s="35"/>
      <c r="W92" s="35"/>
      <c r="X92" s="61"/>
      <c r="Y92" s="72"/>
      <c r="Z92" s="61"/>
      <c r="AA92" s="66" t="str">
        <f t="shared" si="16"/>
        <v/>
      </c>
      <c r="AB92" s="38" t="str">
        <f t="shared" si="17"/>
        <v/>
      </c>
      <c r="AC92" s="71"/>
    </row>
    <row r="93" spans="2:29" x14ac:dyDescent="0.3">
      <c r="B93" s="61"/>
      <c r="C93" s="61"/>
      <c r="D93" s="33" t="str">
        <f>IF($C93="","",IFERROR(INDEX('EQUIPMENT REGISTER'!$C$7:$C$21,MATCH($C93,'EQUIPMENT REGISTER'!$B$7:$B$21,0)),""))</f>
        <v/>
      </c>
      <c r="E93" s="61"/>
      <c r="F93" s="61"/>
      <c r="G93" s="71"/>
      <c r="H93" s="68"/>
      <c r="I93" s="61"/>
      <c r="J93" s="71"/>
      <c r="K93" s="71"/>
      <c r="L93" s="72"/>
      <c r="M93" s="72"/>
      <c r="N93" s="72"/>
      <c r="O93" s="35"/>
      <c r="P93" s="72"/>
      <c r="Q93" s="72"/>
      <c r="R93" s="62" t="str">
        <f t="shared" si="12"/>
        <v/>
      </c>
      <c r="S93" s="62" t="str">
        <f t="shared" si="13"/>
        <v/>
      </c>
      <c r="T93" s="73" t="str">
        <f t="shared" si="14"/>
        <v/>
      </c>
      <c r="U93" s="66" t="str">
        <f t="shared" ca="1" si="15"/>
        <v/>
      </c>
      <c r="V93" s="35"/>
      <c r="W93" s="35"/>
      <c r="X93" s="61"/>
      <c r="Y93" s="72"/>
      <c r="Z93" s="61"/>
      <c r="AA93" s="66" t="str">
        <f t="shared" si="16"/>
        <v/>
      </c>
      <c r="AB93" s="38" t="str">
        <f t="shared" si="17"/>
        <v/>
      </c>
      <c r="AC93" s="71"/>
    </row>
    <row r="94" spans="2:29" x14ac:dyDescent="0.3">
      <c r="B94" s="61"/>
      <c r="C94" s="61"/>
      <c r="D94" s="33" t="str">
        <f>IF($C94="","",IFERROR(INDEX('EQUIPMENT REGISTER'!$C$7:$C$21,MATCH($C94,'EQUIPMENT REGISTER'!$B$7:$B$21,0)),""))</f>
        <v/>
      </c>
      <c r="E94" s="61"/>
      <c r="F94" s="61"/>
      <c r="G94" s="71"/>
      <c r="H94" s="68"/>
      <c r="I94" s="61"/>
      <c r="J94" s="71"/>
      <c r="K94" s="71"/>
      <c r="L94" s="72"/>
      <c r="M94" s="72"/>
      <c r="N94" s="72"/>
      <c r="O94" s="35"/>
      <c r="P94" s="72"/>
      <c r="Q94" s="72"/>
      <c r="R94" s="62" t="str">
        <f t="shared" si="12"/>
        <v/>
      </c>
      <c r="S94" s="62" t="str">
        <f t="shared" si="13"/>
        <v/>
      </c>
      <c r="T94" s="73" t="str">
        <f t="shared" si="14"/>
        <v/>
      </c>
      <c r="U94" s="66" t="str">
        <f t="shared" ca="1" si="15"/>
        <v/>
      </c>
      <c r="V94" s="35"/>
      <c r="W94" s="35"/>
      <c r="X94" s="61"/>
      <c r="Y94" s="72"/>
      <c r="Z94" s="61"/>
      <c r="AA94" s="66" t="str">
        <f t="shared" si="16"/>
        <v/>
      </c>
      <c r="AB94" s="38" t="str">
        <f t="shared" si="17"/>
        <v/>
      </c>
      <c r="AC94" s="71"/>
    </row>
    <row r="95" spans="2:29" x14ac:dyDescent="0.3">
      <c r="B95" s="61"/>
      <c r="C95" s="61"/>
      <c r="D95" s="33" t="str">
        <f>IF($C95="","",IFERROR(INDEX('EQUIPMENT REGISTER'!$C$7:$C$21,MATCH($C95,'EQUIPMENT REGISTER'!$B$7:$B$21,0)),""))</f>
        <v/>
      </c>
      <c r="E95" s="61"/>
      <c r="F95" s="61"/>
      <c r="G95" s="71"/>
      <c r="H95" s="68"/>
      <c r="I95" s="61"/>
      <c r="J95" s="71"/>
      <c r="K95" s="71"/>
      <c r="L95" s="72"/>
      <c r="M95" s="72"/>
      <c r="N95" s="72"/>
      <c r="O95" s="35"/>
      <c r="P95" s="72"/>
      <c r="Q95" s="72"/>
      <c r="R95" s="62" t="str">
        <f t="shared" si="12"/>
        <v/>
      </c>
      <c r="S95" s="62" t="str">
        <f t="shared" si="13"/>
        <v/>
      </c>
      <c r="T95" s="73" t="str">
        <f t="shared" si="14"/>
        <v/>
      </c>
      <c r="U95" s="66" t="str">
        <f t="shared" ca="1" si="15"/>
        <v/>
      </c>
      <c r="V95" s="35"/>
      <c r="W95" s="35"/>
      <c r="X95" s="61"/>
      <c r="Y95" s="72"/>
      <c r="Z95" s="61"/>
      <c r="AA95" s="66" t="str">
        <f t="shared" si="16"/>
        <v/>
      </c>
      <c r="AB95" s="38" t="str">
        <f t="shared" si="17"/>
        <v/>
      </c>
      <c r="AC95" s="71"/>
    </row>
    <row r="96" spans="2:29" x14ac:dyDescent="0.3">
      <c r="B96" s="61"/>
      <c r="C96" s="61"/>
      <c r="D96" s="33" t="str">
        <f>IF($C96="","",IFERROR(INDEX('EQUIPMENT REGISTER'!$C$7:$C$21,MATCH($C96,'EQUIPMENT REGISTER'!$B$7:$B$21,0)),""))</f>
        <v/>
      </c>
      <c r="E96" s="61"/>
      <c r="F96" s="61"/>
      <c r="G96" s="71"/>
      <c r="H96" s="68"/>
      <c r="I96" s="61"/>
      <c r="J96" s="71"/>
      <c r="K96" s="71"/>
      <c r="L96" s="72"/>
      <c r="M96" s="72"/>
      <c r="N96" s="72"/>
      <c r="O96" s="35"/>
      <c r="P96" s="72"/>
      <c r="Q96" s="72"/>
      <c r="R96" s="62" t="str">
        <f t="shared" si="12"/>
        <v/>
      </c>
      <c r="S96" s="62" t="str">
        <f t="shared" si="13"/>
        <v/>
      </c>
      <c r="T96" s="73" t="str">
        <f t="shared" si="14"/>
        <v/>
      </c>
      <c r="U96" s="66" t="str">
        <f t="shared" ca="1" si="15"/>
        <v/>
      </c>
      <c r="V96" s="35"/>
      <c r="W96" s="35"/>
      <c r="X96" s="61"/>
      <c r="Y96" s="72"/>
      <c r="Z96" s="61"/>
      <c r="AA96" s="66" t="str">
        <f t="shared" si="16"/>
        <v/>
      </c>
      <c r="AB96" s="38" t="str">
        <f t="shared" si="17"/>
        <v/>
      </c>
      <c r="AC96" s="71"/>
    </row>
    <row r="97" spans="2:29" x14ac:dyDescent="0.3">
      <c r="B97" s="61"/>
      <c r="C97" s="61"/>
      <c r="D97" s="33" t="str">
        <f>IF($C97="","",IFERROR(INDEX('EQUIPMENT REGISTER'!$C$7:$C$21,MATCH($C97,'EQUIPMENT REGISTER'!$B$7:$B$21,0)),""))</f>
        <v/>
      </c>
      <c r="E97" s="61"/>
      <c r="F97" s="61"/>
      <c r="G97" s="71"/>
      <c r="H97" s="68"/>
      <c r="I97" s="61"/>
      <c r="J97" s="71"/>
      <c r="K97" s="71"/>
      <c r="L97" s="72"/>
      <c r="M97" s="72"/>
      <c r="N97" s="72"/>
      <c r="O97" s="35"/>
      <c r="P97" s="72"/>
      <c r="Q97" s="72"/>
      <c r="R97" s="62" t="str">
        <f t="shared" si="12"/>
        <v/>
      </c>
      <c r="S97" s="62" t="str">
        <f t="shared" si="13"/>
        <v/>
      </c>
      <c r="T97" s="73" t="str">
        <f t="shared" si="14"/>
        <v/>
      </c>
      <c r="U97" s="66" t="str">
        <f t="shared" ca="1" si="15"/>
        <v/>
      </c>
      <c r="V97" s="35"/>
      <c r="W97" s="35"/>
      <c r="X97" s="61"/>
      <c r="Y97" s="72"/>
      <c r="Z97" s="61"/>
      <c r="AA97" s="66" t="str">
        <f t="shared" si="16"/>
        <v/>
      </c>
      <c r="AB97" s="38" t="str">
        <f t="shared" si="17"/>
        <v/>
      </c>
      <c r="AC97" s="71"/>
    </row>
    <row r="98" spans="2:29" x14ac:dyDescent="0.3">
      <c r="B98" s="61"/>
      <c r="C98" s="61"/>
      <c r="D98" s="33" t="str">
        <f>IF($C98="","",IFERROR(INDEX('EQUIPMENT REGISTER'!$C$7:$C$21,MATCH($C98,'EQUIPMENT REGISTER'!$B$7:$B$21,0)),""))</f>
        <v/>
      </c>
      <c r="E98" s="61"/>
      <c r="F98" s="61"/>
      <c r="G98" s="71"/>
      <c r="H98" s="68"/>
      <c r="I98" s="61"/>
      <c r="J98" s="71"/>
      <c r="K98" s="71"/>
      <c r="L98" s="72"/>
      <c r="M98" s="72"/>
      <c r="N98" s="72"/>
      <c r="O98" s="35"/>
      <c r="P98" s="72"/>
      <c r="Q98" s="72"/>
      <c r="R98" s="62" t="str">
        <f t="shared" si="12"/>
        <v/>
      </c>
      <c r="S98" s="62" t="str">
        <f t="shared" si="13"/>
        <v/>
      </c>
      <c r="T98" s="73" t="str">
        <f t="shared" si="14"/>
        <v/>
      </c>
      <c r="U98" s="66" t="str">
        <f t="shared" ca="1" si="15"/>
        <v/>
      </c>
      <c r="V98" s="35"/>
      <c r="W98" s="35"/>
      <c r="X98" s="61"/>
      <c r="Y98" s="72"/>
      <c r="Z98" s="61"/>
      <c r="AA98" s="66" t="str">
        <f t="shared" si="16"/>
        <v/>
      </c>
      <c r="AB98" s="38" t="str">
        <f t="shared" si="17"/>
        <v/>
      </c>
      <c r="AC98" s="71"/>
    </row>
    <row r="99" spans="2:29" x14ac:dyDescent="0.3">
      <c r="B99" s="61"/>
      <c r="C99" s="61"/>
      <c r="D99" s="33" t="str">
        <f>IF($C99="","",IFERROR(INDEX('EQUIPMENT REGISTER'!$C$7:$C$21,MATCH($C99,'EQUIPMENT REGISTER'!$B$7:$B$21,0)),""))</f>
        <v/>
      </c>
      <c r="E99" s="61"/>
      <c r="F99" s="61"/>
      <c r="G99" s="71"/>
      <c r="H99" s="68"/>
      <c r="I99" s="61"/>
      <c r="J99" s="71"/>
      <c r="K99" s="71"/>
      <c r="L99" s="72"/>
      <c r="M99" s="72"/>
      <c r="N99" s="72"/>
      <c r="O99" s="35"/>
      <c r="P99" s="72"/>
      <c r="Q99" s="72"/>
      <c r="R99" s="62" t="str">
        <f t="shared" si="12"/>
        <v/>
      </c>
      <c r="S99" s="62" t="str">
        <f t="shared" si="13"/>
        <v/>
      </c>
      <c r="T99" s="73" t="str">
        <f t="shared" si="14"/>
        <v/>
      </c>
      <c r="U99" s="66" t="str">
        <f t="shared" ca="1" si="15"/>
        <v/>
      </c>
      <c r="V99" s="35"/>
      <c r="W99" s="35"/>
      <c r="X99" s="61"/>
      <c r="Y99" s="72"/>
      <c r="Z99" s="61"/>
      <c r="AA99" s="66" t="str">
        <f t="shared" si="16"/>
        <v/>
      </c>
      <c r="AB99" s="38" t="str">
        <f t="shared" si="17"/>
        <v/>
      </c>
      <c r="AC99" s="71"/>
    </row>
    <row r="100" spans="2:29" x14ac:dyDescent="0.3">
      <c r="B100" s="61"/>
      <c r="C100" s="61"/>
      <c r="D100" s="33" t="str">
        <f>IF($C100="","",IFERROR(INDEX('EQUIPMENT REGISTER'!$C$7:$C$21,MATCH($C100,'EQUIPMENT REGISTER'!$B$7:$B$21,0)),""))</f>
        <v/>
      </c>
      <c r="E100" s="61"/>
      <c r="F100" s="61"/>
      <c r="G100" s="71"/>
      <c r="H100" s="68"/>
      <c r="I100" s="61"/>
      <c r="J100" s="71"/>
      <c r="K100" s="71"/>
      <c r="L100" s="72"/>
      <c r="M100" s="72"/>
      <c r="N100" s="72"/>
      <c r="O100" s="35"/>
      <c r="P100" s="72"/>
      <c r="Q100" s="72"/>
      <c r="R100" s="62" t="str">
        <f t="shared" si="12"/>
        <v/>
      </c>
      <c r="S100" s="62" t="str">
        <f t="shared" si="13"/>
        <v/>
      </c>
      <c r="T100" s="73" t="str">
        <f t="shared" si="14"/>
        <v/>
      </c>
      <c r="U100" s="66" t="str">
        <f t="shared" ca="1" si="15"/>
        <v/>
      </c>
      <c r="V100" s="35"/>
      <c r="W100" s="35"/>
      <c r="X100" s="61"/>
      <c r="Y100" s="72"/>
      <c r="Z100" s="61"/>
      <c r="AA100" s="66" t="str">
        <f t="shared" si="16"/>
        <v/>
      </c>
      <c r="AB100" s="38" t="str">
        <f t="shared" si="17"/>
        <v/>
      </c>
      <c r="AC100" s="71"/>
    </row>
    <row r="101" spans="2:29" x14ac:dyDescent="0.3">
      <c r="B101" s="61"/>
      <c r="C101" s="61"/>
      <c r="D101" s="33" t="str">
        <f>IF($C101="","",IFERROR(INDEX('EQUIPMENT REGISTER'!$C$7:$C$21,MATCH($C101,'EQUIPMENT REGISTER'!$B$7:$B$21,0)),""))</f>
        <v/>
      </c>
      <c r="E101" s="61"/>
      <c r="F101" s="61"/>
      <c r="G101" s="71"/>
      <c r="H101" s="68"/>
      <c r="I101" s="61"/>
      <c r="J101" s="71"/>
      <c r="K101" s="71"/>
      <c r="L101" s="72"/>
      <c r="M101" s="72"/>
      <c r="N101" s="72"/>
      <c r="O101" s="35"/>
      <c r="P101" s="72"/>
      <c r="Q101" s="72"/>
      <c r="R101" s="62" t="str">
        <f t="shared" si="12"/>
        <v/>
      </c>
      <c r="S101" s="62" t="str">
        <f t="shared" si="13"/>
        <v/>
      </c>
      <c r="T101" s="73" t="str">
        <f t="shared" si="14"/>
        <v/>
      </c>
      <c r="U101" s="66" t="str">
        <f t="shared" ca="1" si="15"/>
        <v/>
      </c>
      <c r="V101" s="35"/>
      <c r="W101" s="35"/>
      <c r="X101" s="61"/>
      <c r="Y101" s="72"/>
      <c r="Z101" s="61"/>
      <c r="AA101" s="66" t="str">
        <f t="shared" si="16"/>
        <v/>
      </c>
      <c r="AB101" s="38" t="str">
        <f t="shared" si="17"/>
        <v/>
      </c>
      <c r="AC101" s="71"/>
    </row>
    <row r="102" spans="2:29" x14ac:dyDescent="0.3">
      <c r="B102" s="61"/>
      <c r="C102" s="61"/>
      <c r="D102" s="33" t="str">
        <f>IF($C102="","",IFERROR(INDEX('EQUIPMENT REGISTER'!$C$7:$C$21,MATCH($C102,'EQUIPMENT REGISTER'!$B$7:$B$21,0)),""))</f>
        <v/>
      </c>
      <c r="E102" s="61"/>
      <c r="F102" s="61"/>
      <c r="G102" s="71"/>
      <c r="H102" s="68"/>
      <c r="I102" s="61"/>
      <c r="J102" s="71"/>
      <c r="K102" s="71"/>
      <c r="L102" s="72"/>
      <c r="M102" s="72"/>
      <c r="N102" s="72"/>
      <c r="O102" s="35"/>
      <c r="P102" s="72"/>
      <c r="Q102" s="72"/>
      <c r="R102" s="62" t="str">
        <f t="shared" si="12"/>
        <v/>
      </c>
      <c r="S102" s="62" t="str">
        <f t="shared" si="13"/>
        <v/>
      </c>
      <c r="T102" s="73" t="str">
        <f t="shared" si="14"/>
        <v/>
      </c>
      <c r="U102" s="66" t="str">
        <f t="shared" ca="1" si="15"/>
        <v/>
      </c>
      <c r="V102" s="35"/>
      <c r="W102" s="35"/>
      <c r="X102" s="61"/>
      <c r="Y102" s="72"/>
      <c r="Z102" s="61"/>
      <c r="AA102" s="66" t="str">
        <f t="shared" si="16"/>
        <v/>
      </c>
      <c r="AB102" s="38" t="str">
        <f t="shared" si="17"/>
        <v/>
      </c>
      <c r="AC102" s="71"/>
    </row>
    <row r="103" spans="2:29" x14ac:dyDescent="0.3">
      <c r="B103" s="61"/>
      <c r="C103" s="61"/>
      <c r="D103" s="33" t="str">
        <f>IF($C103="","",IFERROR(INDEX('EQUIPMENT REGISTER'!$C$7:$C$21,MATCH($C103,'EQUIPMENT REGISTER'!$B$7:$B$21,0)),""))</f>
        <v/>
      </c>
      <c r="E103" s="61"/>
      <c r="F103" s="61"/>
      <c r="G103" s="71"/>
      <c r="H103" s="68"/>
      <c r="I103" s="61"/>
      <c r="J103" s="71"/>
      <c r="K103" s="71"/>
      <c r="L103" s="72"/>
      <c r="M103" s="72"/>
      <c r="N103" s="72"/>
      <c r="O103" s="35"/>
      <c r="P103" s="72"/>
      <c r="Q103" s="72"/>
      <c r="R103" s="62" t="str">
        <f t="shared" si="12"/>
        <v/>
      </c>
      <c r="S103" s="62" t="str">
        <f t="shared" si="13"/>
        <v/>
      </c>
      <c r="T103" s="73" t="str">
        <f t="shared" si="14"/>
        <v/>
      </c>
      <c r="U103" s="66" t="str">
        <f t="shared" ca="1" si="15"/>
        <v/>
      </c>
      <c r="V103" s="35"/>
      <c r="W103" s="35"/>
      <c r="X103" s="61"/>
      <c r="Y103" s="72"/>
      <c r="Z103" s="61"/>
      <c r="AA103" s="66" t="str">
        <f t="shared" si="16"/>
        <v/>
      </c>
      <c r="AB103" s="38" t="str">
        <f t="shared" si="17"/>
        <v/>
      </c>
      <c r="AC103" s="71"/>
    </row>
    <row r="104" spans="2:29" x14ac:dyDescent="0.3">
      <c r="B104" s="61"/>
      <c r="C104" s="61"/>
      <c r="D104" s="33" t="str">
        <f>IF($C104="","",IFERROR(INDEX('EQUIPMENT REGISTER'!$C$7:$C$21,MATCH($C104,'EQUIPMENT REGISTER'!$B$7:$B$21,0)),""))</f>
        <v/>
      </c>
      <c r="E104" s="61"/>
      <c r="F104" s="61"/>
      <c r="G104" s="71"/>
      <c r="H104" s="68"/>
      <c r="I104" s="61"/>
      <c r="J104" s="71"/>
      <c r="K104" s="71"/>
      <c r="L104" s="72"/>
      <c r="M104" s="72"/>
      <c r="N104" s="72"/>
      <c r="O104" s="35"/>
      <c r="P104" s="72"/>
      <c r="Q104" s="72"/>
      <c r="R104" s="62" t="str">
        <f t="shared" si="12"/>
        <v/>
      </c>
      <c r="S104" s="62" t="str">
        <f t="shared" si="13"/>
        <v/>
      </c>
      <c r="T104" s="73" t="str">
        <f t="shared" si="14"/>
        <v/>
      </c>
      <c r="U104" s="66" t="str">
        <f t="shared" ca="1" si="15"/>
        <v/>
      </c>
      <c r="V104" s="35"/>
      <c r="W104" s="35"/>
      <c r="X104" s="61"/>
      <c r="Y104" s="72"/>
      <c r="Z104" s="61"/>
      <c r="AA104" s="66" t="str">
        <f t="shared" si="16"/>
        <v/>
      </c>
      <c r="AB104" s="38" t="str">
        <f t="shared" si="17"/>
        <v/>
      </c>
      <c r="AC104" s="71"/>
    </row>
    <row r="105" spans="2:29" x14ac:dyDescent="0.3">
      <c r="B105" s="61"/>
      <c r="C105" s="61"/>
      <c r="D105" s="33" t="str">
        <f>IF($C105="","",IFERROR(INDEX('EQUIPMENT REGISTER'!$C$7:$C$21,MATCH($C105,'EQUIPMENT REGISTER'!$B$7:$B$21,0)),""))</f>
        <v/>
      </c>
      <c r="E105" s="61"/>
      <c r="F105" s="61"/>
      <c r="G105" s="71"/>
      <c r="H105" s="68"/>
      <c r="I105" s="61"/>
      <c r="J105" s="71"/>
      <c r="K105" s="71"/>
      <c r="L105" s="72"/>
      <c r="M105" s="72"/>
      <c r="N105" s="72"/>
      <c r="O105" s="35"/>
      <c r="P105" s="72"/>
      <c r="Q105" s="72"/>
      <c r="R105" s="62" t="str">
        <f t="shared" si="12"/>
        <v/>
      </c>
      <c r="S105" s="62" t="str">
        <f t="shared" si="13"/>
        <v/>
      </c>
      <c r="T105" s="73" t="str">
        <f t="shared" si="14"/>
        <v/>
      </c>
      <c r="U105" s="66" t="str">
        <f t="shared" ca="1" si="15"/>
        <v/>
      </c>
      <c r="V105" s="35"/>
      <c r="W105" s="35"/>
      <c r="X105" s="61"/>
      <c r="Y105" s="72"/>
      <c r="Z105" s="61"/>
      <c r="AA105" s="66" t="str">
        <f t="shared" si="16"/>
        <v/>
      </c>
      <c r="AB105" s="38" t="str">
        <f t="shared" si="17"/>
        <v/>
      </c>
      <c r="AC105" s="71"/>
    </row>
    <row r="106" spans="2:29" x14ac:dyDescent="0.3">
      <c r="B106" s="61"/>
      <c r="C106" s="61"/>
      <c r="D106" s="33" t="str">
        <f>IF($C106="","",IFERROR(INDEX('EQUIPMENT REGISTER'!$C$7:$C$21,MATCH($C106,'EQUIPMENT REGISTER'!$B$7:$B$21,0)),""))</f>
        <v/>
      </c>
      <c r="E106" s="61"/>
      <c r="F106" s="61"/>
      <c r="G106" s="71"/>
      <c r="H106" s="68"/>
      <c r="I106" s="61"/>
      <c r="J106" s="71"/>
      <c r="K106" s="71"/>
      <c r="L106" s="72"/>
      <c r="M106" s="72"/>
      <c r="N106" s="72"/>
      <c r="O106" s="35"/>
      <c r="P106" s="72"/>
      <c r="Q106" s="72"/>
      <c r="R106" s="62" t="str">
        <f t="shared" si="12"/>
        <v/>
      </c>
      <c r="S106" s="62" t="str">
        <f t="shared" si="13"/>
        <v/>
      </c>
      <c r="T106" s="73" t="str">
        <f t="shared" si="14"/>
        <v/>
      </c>
      <c r="U106" s="66" t="str">
        <f t="shared" ca="1" si="15"/>
        <v/>
      </c>
      <c r="V106" s="35"/>
      <c r="W106" s="35"/>
      <c r="X106" s="61"/>
      <c r="Y106" s="72"/>
      <c r="Z106" s="61"/>
      <c r="AA106" s="66" t="str">
        <f t="shared" si="16"/>
        <v/>
      </c>
      <c r="AB106" s="38" t="str">
        <f t="shared" si="17"/>
        <v/>
      </c>
      <c r="AC106" s="71"/>
    </row>
    <row r="107" spans="2:29" x14ac:dyDescent="0.3">
      <c r="B107" s="61"/>
      <c r="C107" s="61"/>
      <c r="D107" s="33" t="str">
        <f>IF($C107="","",IFERROR(INDEX('EQUIPMENT REGISTER'!$C$7:$C$21,MATCH($C107,'EQUIPMENT REGISTER'!$B$7:$B$21,0)),""))</f>
        <v/>
      </c>
      <c r="E107" s="61"/>
      <c r="F107" s="61"/>
      <c r="G107" s="71"/>
      <c r="H107" s="68"/>
      <c r="I107" s="61"/>
      <c r="J107" s="71"/>
      <c r="K107" s="71"/>
      <c r="L107" s="72"/>
      <c r="M107" s="72"/>
      <c r="N107" s="72"/>
      <c r="O107" s="35"/>
      <c r="P107" s="72"/>
      <c r="Q107" s="72"/>
      <c r="R107" s="62" t="str">
        <f t="shared" si="12"/>
        <v/>
      </c>
      <c r="S107" s="62" t="str">
        <f t="shared" si="13"/>
        <v/>
      </c>
      <c r="T107" s="73" t="str">
        <f t="shared" si="14"/>
        <v/>
      </c>
      <c r="U107" s="66" t="str">
        <f t="shared" ca="1" si="15"/>
        <v/>
      </c>
      <c r="V107" s="35"/>
      <c r="W107" s="35"/>
      <c r="X107" s="61"/>
      <c r="Y107" s="72"/>
      <c r="Z107" s="61"/>
      <c r="AA107" s="66" t="str">
        <f t="shared" si="16"/>
        <v/>
      </c>
      <c r="AB107" s="38" t="str">
        <f t="shared" si="17"/>
        <v/>
      </c>
      <c r="AC107" s="71"/>
    </row>
  </sheetData>
  <conditionalFormatting sqref="U8:U107">
    <cfRule type="cellIs" dxfId="27" priority="5" operator="equal">
      <formula>"MET"</formula>
    </cfRule>
    <cfRule type="cellIs" dxfId="26" priority="6" operator="equal">
      <formula>"MISSED"</formula>
    </cfRule>
    <cfRule type="cellIs" dxfId="25" priority="7" operator="equal">
      <formula>"IN WINDOW"</formula>
    </cfRule>
    <cfRule type="cellIs" dxfId="24" priority="8" operator="equal">
      <formula>"OVERDUE"</formula>
    </cfRule>
  </conditionalFormatting>
  <conditionalFormatting sqref="Z8:Z107">
    <cfRule type="cellIs" dxfId="23" priority="9" operator="equal">
      <formula>"Completed"</formula>
    </cfRule>
    <cfRule type="cellIs" dxfId="22" priority="10" operator="equal">
      <formula>"In Progress"</formula>
    </cfRule>
    <cfRule type="cellIs" dxfId="21" priority="11" operator="equal">
      <formula>"Open"</formula>
    </cfRule>
  </conditionalFormatting>
  <conditionalFormatting sqref="AA8:AA107">
    <cfRule type="cellIs" dxfId="20" priority="12" operator="equal">
      <formula>"REPEAT"</formula>
    </cfRule>
  </conditionalFormatting>
  <conditionalFormatting sqref="AB8:AB107">
    <cfRule type="cellIs" dxfId="19" priority="2" operator="equal">
      <formula>"GREEN"</formula>
    </cfRule>
    <cfRule type="cellIs" dxfId="18" priority="3" operator="equal">
      <formula>"AMBER"</formula>
    </cfRule>
    <cfRule type="cellIs" dxfId="17" priority="4" operator="equal">
      <formula>"RED"</formula>
    </cfRule>
  </conditionalFormatting>
  <dataValidations count="7">
    <dataValidation type="list" allowBlank="1" sqref="C8:C107" xr:uid="{00000000-0002-0000-0B00-000000000000}">
      <formula1>EQUIPLIST</formula1>
      <formula2>0</formula2>
    </dataValidation>
    <dataValidation type="list" allowBlank="1" sqref="E8:E107" xr:uid="{00000000-0002-0000-0B00-000001000000}">
      <formula1>"Breakdown,Planned Maintenance,Service,Inspection,Field Repair"</formula1>
      <formula2>0</formula2>
    </dataValidation>
    <dataValidation type="list" allowBlank="1" sqref="F8:F107" xr:uid="{00000000-0002-0000-0B00-000002000000}">
      <formula1>"Engine,Hydraulic,Electrical,Transmission,Undercarriage,Tyres,Brakes,Cooling,Body &amp; Structure,Operator Damage,Other"</formula1>
      <formula2>0</formula2>
    </dataValidation>
    <dataValidation type="list" allowBlank="1" sqref="I8:I107" xr:uid="{00000000-0002-0000-0B00-000003000000}">
      <formula1>"Day,Night"</formula1>
      <formula2>0</formula2>
    </dataValidation>
    <dataValidation type="list" allowBlank="1" sqref="J8:K107" xr:uid="{00000000-0002-0000-0B00-000004000000}">
      <formula1>MECHLIST</formula1>
      <formula2>0</formula2>
    </dataValidation>
    <dataValidation type="list" allowBlank="1" sqref="X8:X107" xr:uid="{00000000-0002-0000-0B00-000006000000}">
      <formula1>"Y,N"</formula1>
      <formula2>0</formula2>
    </dataValidation>
    <dataValidation type="list" allowBlank="1" sqref="Z8:Z107" xr:uid="{00000000-0002-0000-0B00-000007000000}">
      <formula1>"Open,In Progress,Completed"</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J56"/>
  <sheetViews>
    <sheetView showGridLines="0" zoomScaleNormal="100" workbookViewId="0">
      <pane xSplit="1" ySplit="6" topLeftCell="B7" activePane="bottomRight" state="frozen"/>
      <selection pane="topRight" activeCell="B1" sqref="B1"/>
      <selection pane="bottomLeft" activeCell="A7" sqref="A7"/>
      <selection pane="bottomRight" activeCell="K1" sqref="K1:K1048576"/>
    </sheetView>
  </sheetViews>
  <sheetFormatPr defaultColWidth="8.6640625" defaultRowHeight="14.4" x14ac:dyDescent="0.3"/>
  <cols>
    <col min="2" max="2" width="49.33203125" customWidth="1"/>
    <col min="3" max="3" width="12" customWidth="1"/>
    <col min="4" max="4" width="51.33203125" customWidth="1"/>
    <col min="5" max="5" width="11.5546875" customWidth="1"/>
    <col min="6" max="6" width="13" customWidth="1"/>
    <col min="7" max="9" width="12" customWidth="1"/>
    <col min="10" max="10" width="35.6640625" bestFit="1" customWidth="1"/>
  </cols>
  <sheetData>
    <row r="2" spans="2:10" ht="18" customHeight="1" x14ac:dyDescent="0.35">
      <c r="B2" s="13" t="s">
        <v>335</v>
      </c>
    </row>
    <row r="3" spans="2:10" ht="14.25" customHeight="1" x14ac:dyDescent="0.3">
      <c r="B3" s="14" t="s">
        <v>43</v>
      </c>
    </row>
    <row r="4" spans="2:10" ht="14.25" customHeight="1" x14ac:dyDescent="0.3">
      <c r="B4" s="15" t="s">
        <v>336</v>
      </c>
    </row>
    <row r="6" spans="2:10" ht="33.75" customHeight="1" x14ac:dyDescent="0.3">
      <c r="B6" s="16" t="s">
        <v>45</v>
      </c>
      <c r="C6" s="16" t="s">
        <v>337</v>
      </c>
      <c r="D6" s="16" t="s">
        <v>338</v>
      </c>
      <c r="E6" s="16" t="s">
        <v>54</v>
      </c>
      <c r="F6" s="16" t="s">
        <v>55</v>
      </c>
      <c r="G6" s="16" t="s">
        <v>339</v>
      </c>
      <c r="H6" s="16" t="s">
        <v>340</v>
      </c>
      <c r="I6" s="16" t="s">
        <v>341</v>
      </c>
      <c r="J6" s="16" t="s">
        <v>342</v>
      </c>
    </row>
    <row r="7" spans="2:10" ht="14.25" customHeight="1" x14ac:dyDescent="0.3">
      <c r="B7" s="56"/>
      <c r="C7" s="56" t="s">
        <v>382</v>
      </c>
      <c r="D7" s="57" t="str">
        <f>IFERROR(INDEX('DELAY CODE REGISTER'!$C$6:$C$49,MATCH(C7,'DELAY CODE REGISTER'!$B$6:$B$49,0)),"")</f>
        <v>Weather / Rain &amp; Slippery Road Conditions</v>
      </c>
      <c r="E7" s="55">
        <v>15</v>
      </c>
      <c r="F7" s="55">
        <v>0</v>
      </c>
      <c r="G7" s="29">
        <f t="shared" ref="G7:G38" si="0">IF(AND(E7="",F7=""),"",N(E7)+N(F7))</f>
        <v>15</v>
      </c>
      <c r="H7" s="27">
        <f>IFERROR(G7/'SETUP &amp; TARGETS'!$C9,"")</f>
        <v>2.6881720430107527E-2</v>
      </c>
      <c r="I7" s="57" t="str">
        <f>IFERROR(INDEX('DELAY CODE REGISTER'!$E$6:$E$49,MATCH(C7,'DELAY CODE REGISTER'!$B$6:$B$49,0)),"")</f>
        <v>LOW</v>
      </c>
      <c r="J7" s="56" t="s">
        <v>552</v>
      </c>
    </row>
    <row r="8" spans="2:10" ht="14.25" customHeight="1" x14ac:dyDescent="0.3">
      <c r="B8" s="56"/>
      <c r="C8" s="56"/>
      <c r="D8" s="57" t="str">
        <f>IFERROR(INDEX('DELAY CODE REGISTER'!$C$6:$C$49,MATCH(C8,'DELAY CODE REGISTER'!$B$6:$B$49,0)),"")</f>
        <v/>
      </c>
      <c r="E8" s="55"/>
      <c r="F8" s="55"/>
      <c r="G8" s="29" t="str">
        <f t="shared" si="0"/>
        <v/>
      </c>
      <c r="H8" s="27" t="str">
        <f>IFERROR(G8/'SETUP &amp; TARGETS'!$C9,"")</f>
        <v/>
      </c>
      <c r="I8" s="57" t="str">
        <f>IFERROR(INDEX('DELAY CODE REGISTER'!$E$6:$E$49,MATCH(C8,'DELAY CODE REGISTER'!$B$6:$B$49,0)),"")</f>
        <v/>
      </c>
      <c r="J8" s="56"/>
    </row>
    <row r="9" spans="2:10" ht="14.25" customHeight="1" x14ac:dyDescent="0.3">
      <c r="B9" s="56"/>
      <c r="C9" s="56"/>
      <c r="D9" s="57" t="str">
        <f>IFERROR(INDEX('DELAY CODE REGISTER'!$C$6:$C$49,MATCH(C9,'DELAY CODE REGISTER'!$B$6:$B$49,0)),"")</f>
        <v/>
      </c>
      <c r="E9" s="55"/>
      <c r="F9" s="55"/>
      <c r="G9" s="29" t="str">
        <f t="shared" si="0"/>
        <v/>
      </c>
      <c r="H9" s="27" t="str">
        <f>IFERROR(G9/'SETUP &amp; TARGETS'!$C9,"")</f>
        <v/>
      </c>
      <c r="I9" s="57" t="str">
        <f>IFERROR(INDEX('DELAY CODE REGISTER'!$E$6:$E$49,MATCH(C9,'DELAY CODE REGISTER'!$B$6:$B$49,0)),"")</f>
        <v/>
      </c>
      <c r="J9" s="56"/>
    </row>
    <row r="10" spans="2:10" ht="14.25" customHeight="1" x14ac:dyDescent="0.3">
      <c r="B10" s="56"/>
      <c r="C10" s="56"/>
      <c r="D10" s="57" t="str">
        <f>IFERROR(INDEX('DELAY CODE REGISTER'!$C$6:$C$49,MATCH(C10,'DELAY CODE REGISTER'!$B$6:$B$49,0)),"")</f>
        <v/>
      </c>
      <c r="E10" s="55"/>
      <c r="F10" s="55"/>
      <c r="G10" s="29" t="str">
        <f t="shared" si="0"/>
        <v/>
      </c>
      <c r="H10" s="27" t="str">
        <f>IFERROR(G10/'SETUP &amp; TARGETS'!$C9,"")</f>
        <v/>
      </c>
      <c r="I10" s="57" t="str">
        <f>IFERROR(INDEX('DELAY CODE REGISTER'!$E$6:$E$49,MATCH(C10,'DELAY CODE REGISTER'!$B$6:$B$49,0)),"")</f>
        <v/>
      </c>
      <c r="J10" s="56"/>
    </row>
    <row r="11" spans="2:10" ht="14.25" customHeight="1" x14ac:dyDescent="0.3">
      <c r="B11" s="56"/>
      <c r="C11" s="56"/>
      <c r="D11" s="57" t="str">
        <f>IFERROR(INDEX('DELAY CODE REGISTER'!$C$6:$C$49,MATCH(C11,'DELAY CODE REGISTER'!$B$6:$B$49,0)),"")</f>
        <v/>
      </c>
      <c r="E11" s="55"/>
      <c r="F11" s="55"/>
      <c r="G11" s="29" t="str">
        <f t="shared" si="0"/>
        <v/>
      </c>
      <c r="H11" s="27" t="str">
        <f>IFERROR(G11/'SETUP &amp; TARGETS'!$C9,"")</f>
        <v/>
      </c>
      <c r="I11" s="57" t="str">
        <f>IFERROR(INDEX('DELAY CODE REGISTER'!$E$6:$E$49,MATCH(C11,'DELAY CODE REGISTER'!$B$6:$B$49,0)),"")</f>
        <v/>
      </c>
      <c r="J11" s="56"/>
    </row>
    <row r="12" spans="2:10" ht="14.25" customHeight="1" x14ac:dyDescent="0.3">
      <c r="B12" s="56"/>
      <c r="C12" s="56"/>
      <c r="D12" s="57" t="str">
        <f>IFERROR(INDEX('DELAY CODE REGISTER'!$C$6:$C$49,MATCH(C12,'DELAY CODE REGISTER'!$B$6:$B$49,0)),"")</f>
        <v/>
      </c>
      <c r="E12" s="55"/>
      <c r="F12" s="55"/>
      <c r="G12" s="29" t="str">
        <f t="shared" si="0"/>
        <v/>
      </c>
      <c r="H12" s="27" t="str">
        <f>IFERROR(G12/'SETUP &amp; TARGETS'!$C9,"")</f>
        <v/>
      </c>
      <c r="I12" s="57" t="str">
        <f>IFERROR(INDEX('DELAY CODE REGISTER'!$E$6:$E$49,MATCH(C12,'DELAY CODE REGISTER'!$B$6:$B$49,0)),"")</f>
        <v/>
      </c>
      <c r="J12" s="56"/>
    </row>
    <row r="13" spans="2:10" ht="14.25" customHeight="1" x14ac:dyDescent="0.3">
      <c r="B13" s="56"/>
      <c r="C13" s="56"/>
      <c r="D13" s="57" t="str">
        <f>IFERROR(INDEX('DELAY CODE REGISTER'!$C$6:$C$49,MATCH(C13,'DELAY CODE REGISTER'!$B$6:$B$49,0)),"")</f>
        <v/>
      </c>
      <c r="E13" s="55"/>
      <c r="F13" s="55"/>
      <c r="G13" s="29" t="str">
        <f t="shared" si="0"/>
        <v/>
      </c>
      <c r="H13" s="27" t="str">
        <f>IFERROR(G13/'SETUP &amp; TARGETS'!$C9,"")</f>
        <v/>
      </c>
      <c r="I13" s="57" t="str">
        <f>IFERROR(INDEX('DELAY CODE REGISTER'!$E$6:$E$49,MATCH(C13,'DELAY CODE REGISTER'!$B$6:$B$49,0)),"")</f>
        <v/>
      </c>
      <c r="J13" s="56"/>
    </row>
    <row r="14" spans="2:10" ht="14.25" customHeight="1" x14ac:dyDescent="0.3">
      <c r="B14" s="56"/>
      <c r="C14" s="56"/>
      <c r="D14" s="57" t="str">
        <f>IFERROR(INDEX('DELAY CODE REGISTER'!$C$6:$C$49,MATCH(C14,'DELAY CODE REGISTER'!$B$6:$B$49,0)),"")</f>
        <v/>
      </c>
      <c r="E14" s="55"/>
      <c r="F14" s="55"/>
      <c r="G14" s="29" t="str">
        <f t="shared" si="0"/>
        <v/>
      </c>
      <c r="H14" s="27" t="str">
        <f>IFERROR(G14/'SETUP &amp; TARGETS'!$C9,"")</f>
        <v/>
      </c>
      <c r="I14" s="57" t="str">
        <f>IFERROR(INDEX('DELAY CODE REGISTER'!$E$6:$E$49,MATCH(C14,'DELAY CODE REGISTER'!$B$6:$B$49,0)),"")</f>
        <v/>
      </c>
      <c r="J14" s="56"/>
    </row>
    <row r="15" spans="2:10" ht="14.25" customHeight="1" x14ac:dyDescent="0.3">
      <c r="B15" s="56"/>
      <c r="C15" s="56"/>
      <c r="D15" s="57" t="str">
        <f>IFERROR(INDEX('DELAY CODE REGISTER'!$C$6:$C$49,MATCH(C15,'DELAY CODE REGISTER'!$B$6:$B$49,0)),"")</f>
        <v/>
      </c>
      <c r="E15" s="55"/>
      <c r="F15" s="55"/>
      <c r="G15" s="29" t="str">
        <f t="shared" si="0"/>
        <v/>
      </c>
      <c r="H15" s="27" t="str">
        <f>IFERROR(G15/'SETUP &amp; TARGETS'!$C9,"")</f>
        <v/>
      </c>
      <c r="I15" s="57" t="str">
        <f>IFERROR(INDEX('DELAY CODE REGISTER'!$E$6:$E$49,MATCH(C15,'DELAY CODE REGISTER'!$B$6:$B$49,0)),"")</f>
        <v/>
      </c>
      <c r="J15" s="56"/>
    </row>
    <row r="16" spans="2:10" ht="14.25" customHeight="1" x14ac:dyDescent="0.3">
      <c r="B16" s="56"/>
      <c r="C16" s="56"/>
      <c r="D16" s="57" t="str">
        <f>IFERROR(INDEX('DELAY CODE REGISTER'!$C$6:$C$49,MATCH(C16,'DELAY CODE REGISTER'!$B$6:$B$49,0)),"")</f>
        <v/>
      </c>
      <c r="E16" s="55"/>
      <c r="F16" s="55"/>
      <c r="G16" s="29" t="str">
        <f t="shared" si="0"/>
        <v/>
      </c>
      <c r="H16" s="27" t="str">
        <f>IFERROR(G16/'SETUP &amp; TARGETS'!$C9,"")</f>
        <v/>
      </c>
      <c r="I16" s="57" t="str">
        <f>IFERROR(INDEX('DELAY CODE REGISTER'!$E$6:$E$49,MATCH(C16,'DELAY CODE REGISTER'!$B$6:$B$49,0)),"")</f>
        <v/>
      </c>
      <c r="J16" s="56"/>
    </row>
    <row r="17" spans="2:10" ht="14.25" customHeight="1" x14ac:dyDescent="0.3">
      <c r="B17" s="56"/>
      <c r="C17" s="56"/>
      <c r="D17" s="57" t="str">
        <f>IFERROR(INDEX('DELAY CODE REGISTER'!$C$6:$C$49,MATCH(C17,'DELAY CODE REGISTER'!$B$6:$B$49,0)),"")</f>
        <v/>
      </c>
      <c r="E17" s="55"/>
      <c r="F17" s="55"/>
      <c r="G17" s="29" t="str">
        <f t="shared" si="0"/>
        <v/>
      </c>
      <c r="H17" s="27" t="str">
        <f>IFERROR(G17/'SETUP &amp; TARGETS'!$C9,"")</f>
        <v/>
      </c>
      <c r="I17" s="57" t="str">
        <f>IFERROR(INDEX('DELAY CODE REGISTER'!$E$6:$E$49,MATCH(C17,'DELAY CODE REGISTER'!$B$6:$B$49,0)),"")</f>
        <v/>
      </c>
      <c r="J17" s="56"/>
    </row>
    <row r="18" spans="2:10" ht="14.25" customHeight="1" x14ac:dyDescent="0.3">
      <c r="B18" s="56"/>
      <c r="C18" s="56"/>
      <c r="D18" s="57" t="str">
        <f>IFERROR(INDEX('DELAY CODE REGISTER'!$C$6:$C$49,MATCH(C18,'DELAY CODE REGISTER'!$B$6:$B$49,0)),"")</f>
        <v/>
      </c>
      <c r="E18" s="55"/>
      <c r="F18" s="55"/>
      <c r="G18" s="29" t="str">
        <f t="shared" si="0"/>
        <v/>
      </c>
      <c r="H18" s="27" t="str">
        <f>IFERROR(G18/'SETUP &amp; TARGETS'!$C9,"")</f>
        <v/>
      </c>
      <c r="I18" s="57" t="str">
        <f>IFERROR(INDEX('DELAY CODE REGISTER'!$E$6:$E$49,MATCH(C18,'DELAY CODE REGISTER'!$B$6:$B$49,0)),"")</f>
        <v/>
      </c>
      <c r="J18" s="56"/>
    </row>
    <row r="19" spans="2:10" ht="14.25" customHeight="1" x14ac:dyDescent="0.3">
      <c r="B19" s="56"/>
      <c r="C19" s="56"/>
      <c r="D19" s="57" t="str">
        <f>IFERROR(INDEX('DELAY CODE REGISTER'!$C$6:$C$49,MATCH(C19,'DELAY CODE REGISTER'!$B$6:$B$49,0)),"")</f>
        <v/>
      </c>
      <c r="E19" s="55"/>
      <c r="F19" s="55"/>
      <c r="G19" s="29" t="str">
        <f t="shared" si="0"/>
        <v/>
      </c>
      <c r="H19" s="27" t="str">
        <f>IFERROR(G19/'SETUP &amp; TARGETS'!$C9,"")</f>
        <v/>
      </c>
      <c r="I19" s="57" t="str">
        <f>IFERROR(INDEX('DELAY CODE REGISTER'!$E$6:$E$49,MATCH(C19,'DELAY CODE REGISTER'!$B$6:$B$49,0)),"")</f>
        <v/>
      </c>
      <c r="J19" s="56"/>
    </row>
    <row r="20" spans="2:10" ht="14.25" customHeight="1" x14ac:dyDescent="0.3">
      <c r="B20" s="56"/>
      <c r="C20" s="56"/>
      <c r="D20" s="57" t="str">
        <f>IFERROR(INDEX('DELAY CODE REGISTER'!$C$6:$C$49,MATCH(C20,'DELAY CODE REGISTER'!$B$6:$B$49,0)),"")</f>
        <v/>
      </c>
      <c r="E20" s="55"/>
      <c r="F20" s="55"/>
      <c r="G20" s="29" t="str">
        <f t="shared" si="0"/>
        <v/>
      </c>
      <c r="H20" s="27" t="str">
        <f>IFERROR(G20/'SETUP &amp; TARGETS'!$C9,"")</f>
        <v/>
      </c>
      <c r="I20" s="57" t="str">
        <f>IFERROR(INDEX('DELAY CODE REGISTER'!$E$6:$E$49,MATCH(C20,'DELAY CODE REGISTER'!$B$6:$B$49,0)),"")</f>
        <v/>
      </c>
      <c r="J20" s="56"/>
    </row>
    <row r="21" spans="2:10" ht="14.25" customHeight="1" x14ac:dyDescent="0.3">
      <c r="B21" s="56"/>
      <c r="C21" s="56"/>
      <c r="D21" s="57" t="str">
        <f>IFERROR(INDEX('DELAY CODE REGISTER'!$C$6:$C$49,MATCH(C21,'DELAY CODE REGISTER'!$B$6:$B$49,0)),"")</f>
        <v/>
      </c>
      <c r="E21" s="55"/>
      <c r="F21" s="55"/>
      <c r="G21" s="29" t="str">
        <f t="shared" si="0"/>
        <v/>
      </c>
      <c r="H21" s="27" t="str">
        <f>IFERROR(G21/'SETUP &amp; TARGETS'!$C9,"")</f>
        <v/>
      </c>
      <c r="I21" s="57" t="str">
        <f>IFERROR(INDEX('DELAY CODE REGISTER'!$E$6:$E$49,MATCH(C21,'DELAY CODE REGISTER'!$B$6:$B$49,0)),"")</f>
        <v/>
      </c>
      <c r="J21" s="56"/>
    </row>
    <row r="22" spans="2:10" ht="14.25" customHeight="1" x14ac:dyDescent="0.3">
      <c r="B22" s="56"/>
      <c r="C22" s="56"/>
      <c r="D22" s="57" t="str">
        <f>IFERROR(INDEX('DELAY CODE REGISTER'!$C$6:$C$49,MATCH(C22,'DELAY CODE REGISTER'!$B$6:$B$49,0)),"")</f>
        <v/>
      </c>
      <c r="E22" s="55"/>
      <c r="F22" s="55"/>
      <c r="G22" s="29" t="str">
        <f t="shared" si="0"/>
        <v/>
      </c>
      <c r="H22" s="27" t="str">
        <f>IFERROR(G22/'SETUP &amp; TARGETS'!$C9,"")</f>
        <v/>
      </c>
      <c r="I22" s="57" t="str">
        <f>IFERROR(INDEX('DELAY CODE REGISTER'!$E$6:$E$49,MATCH(C22,'DELAY CODE REGISTER'!$B$6:$B$49,0)),"")</f>
        <v/>
      </c>
      <c r="J22" s="56"/>
    </row>
    <row r="23" spans="2:10" ht="14.25" customHeight="1" x14ac:dyDescent="0.3">
      <c r="B23" s="56"/>
      <c r="C23" s="56"/>
      <c r="D23" s="57" t="str">
        <f>IFERROR(INDEX('DELAY CODE REGISTER'!$C$6:$C$49,MATCH(C23,'DELAY CODE REGISTER'!$B$6:$B$49,0)),"")</f>
        <v/>
      </c>
      <c r="E23" s="55"/>
      <c r="F23" s="55"/>
      <c r="G23" s="29" t="str">
        <f t="shared" si="0"/>
        <v/>
      </c>
      <c r="H23" s="27" t="str">
        <f>IFERROR(G23/'SETUP &amp; TARGETS'!$C9,"")</f>
        <v/>
      </c>
      <c r="I23" s="57" t="str">
        <f>IFERROR(INDEX('DELAY CODE REGISTER'!$E$6:$E$49,MATCH(C23,'DELAY CODE REGISTER'!$B$6:$B$49,0)),"")</f>
        <v/>
      </c>
      <c r="J23" s="56"/>
    </row>
    <row r="24" spans="2:10" ht="14.25" customHeight="1" x14ac:dyDescent="0.3">
      <c r="B24" s="56"/>
      <c r="C24" s="56"/>
      <c r="D24" s="57" t="str">
        <f>IFERROR(INDEX('DELAY CODE REGISTER'!$C$6:$C$49,MATCH(C24,'DELAY CODE REGISTER'!$B$6:$B$49,0)),"")</f>
        <v/>
      </c>
      <c r="E24" s="55"/>
      <c r="F24" s="55"/>
      <c r="G24" s="29" t="str">
        <f t="shared" si="0"/>
        <v/>
      </c>
      <c r="H24" s="27" t="str">
        <f>IFERROR(G24/'SETUP &amp; TARGETS'!$C9,"")</f>
        <v/>
      </c>
      <c r="I24" s="57" t="str">
        <f>IFERROR(INDEX('DELAY CODE REGISTER'!$E$6:$E$49,MATCH(C24,'DELAY CODE REGISTER'!$B$6:$B$49,0)),"")</f>
        <v/>
      </c>
      <c r="J24" s="56"/>
    </row>
    <row r="25" spans="2:10" ht="14.25" customHeight="1" x14ac:dyDescent="0.3">
      <c r="B25" s="56"/>
      <c r="C25" s="56"/>
      <c r="D25" s="57" t="str">
        <f>IFERROR(INDEX('DELAY CODE REGISTER'!$C$6:$C$49,MATCH(C25,'DELAY CODE REGISTER'!$B$6:$B$49,0)),"")</f>
        <v/>
      </c>
      <c r="E25" s="55"/>
      <c r="F25" s="55"/>
      <c r="G25" s="29" t="str">
        <f t="shared" si="0"/>
        <v/>
      </c>
      <c r="H25" s="27" t="str">
        <f>IFERROR(G25/'SETUP &amp; TARGETS'!$C9,"")</f>
        <v/>
      </c>
      <c r="I25" s="57" t="str">
        <f>IFERROR(INDEX('DELAY CODE REGISTER'!$E$6:$E$49,MATCH(C25,'DELAY CODE REGISTER'!$B$6:$B$49,0)),"")</f>
        <v/>
      </c>
      <c r="J25" s="56"/>
    </row>
    <row r="26" spans="2:10" ht="14.25" customHeight="1" x14ac:dyDescent="0.3">
      <c r="B26" s="56"/>
      <c r="C26" s="56"/>
      <c r="D26" s="57" t="str">
        <f>IFERROR(INDEX('DELAY CODE REGISTER'!$C$6:$C$49,MATCH(C26,'DELAY CODE REGISTER'!$B$6:$B$49,0)),"")</f>
        <v/>
      </c>
      <c r="E26" s="55"/>
      <c r="F26" s="55"/>
      <c r="G26" s="29" t="str">
        <f t="shared" si="0"/>
        <v/>
      </c>
      <c r="H26" s="27" t="str">
        <f>IFERROR(G26/'SETUP &amp; TARGETS'!$C9,"")</f>
        <v/>
      </c>
      <c r="I26" s="57" t="str">
        <f>IFERROR(INDEX('DELAY CODE REGISTER'!$E$6:$E$49,MATCH(C26,'DELAY CODE REGISTER'!$B$6:$B$49,0)),"")</f>
        <v/>
      </c>
      <c r="J26" s="56"/>
    </row>
    <row r="27" spans="2:10" ht="14.25" customHeight="1" x14ac:dyDescent="0.3">
      <c r="B27" s="56"/>
      <c r="C27" s="56"/>
      <c r="D27" s="57" t="str">
        <f>IFERROR(INDEX('DELAY CODE REGISTER'!$C$6:$C$49,MATCH(C27,'DELAY CODE REGISTER'!$B$6:$B$49,0)),"")</f>
        <v/>
      </c>
      <c r="E27" s="55"/>
      <c r="F27" s="55"/>
      <c r="G27" s="29" t="str">
        <f t="shared" si="0"/>
        <v/>
      </c>
      <c r="H27" s="27" t="str">
        <f>IFERROR(G27/'SETUP &amp; TARGETS'!$C9,"")</f>
        <v/>
      </c>
      <c r="I27" s="57" t="str">
        <f>IFERROR(INDEX('DELAY CODE REGISTER'!$E$6:$E$49,MATCH(C27,'DELAY CODE REGISTER'!$B$6:$B$49,0)),"")</f>
        <v/>
      </c>
      <c r="J27" s="56"/>
    </row>
    <row r="28" spans="2:10" ht="14.25" customHeight="1" x14ac:dyDescent="0.3">
      <c r="B28" s="56"/>
      <c r="C28" s="56"/>
      <c r="D28" s="57" t="str">
        <f>IFERROR(INDEX('DELAY CODE REGISTER'!$C$6:$C$49,MATCH(C28,'DELAY CODE REGISTER'!$B$6:$B$49,0)),"")</f>
        <v/>
      </c>
      <c r="E28" s="55"/>
      <c r="F28" s="55"/>
      <c r="G28" s="29" t="str">
        <f t="shared" si="0"/>
        <v/>
      </c>
      <c r="H28" s="27" t="str">
        <f>IFERROR(G28/'SETUP &amp; TARGETS'!$C9,"")</f>
        <v/>
      </c>
      <c r="I28" s="57" t="str">
        <f>IFERROR(INDEX('DELAY CODE REGISTER'!$E$6:$E$49,MATCH(C28,'DELAY CODE REGISTER'!$B$6:$B$49,0)),"")</f>
        <v/>
      </c>
      <c r="J28" s="56"/>
    </row>
    <row r="29" spans="2:10" ht="14.25" customHeight="1" x14ac:dyDescent="0.3">
      <c r="B29" s="56"/>
      <c r="C29" s="56"/>
      <c r="D29" s="57" t="str">
        <f>IFERROR(INDEX('DELAY CODE REGISTER'!$C$6:$C$49,MATCH(C29,'DELAY CODE REGISTER'!$B$6:$B$49,0)),"")</f>
        <v/>
      </c>
      <c r="E29" s="55"/>
      <c r="F29" s="55"/>
      <c r="G29" s="29" t="str">
        <f t="shared" si="0"/>
        <v/>
      </c>
      <c r="H29" s="27" t="str">
        <f>IFERROR(G29/'SETUP &amp; TARGETS'!$C9,"")</f>
        <v/>
      </c>
      <c r="I29" s="57" t="str">
        <f>IFERROR(INDEX('DELAY CODE REGISTER'!$E$6:$E$49,MATCH(C29,'DELAY CODE REGISTER'!$B$6:$B$49,0)),"")</f>
        <v/>
      </c>
      <c r="J29" s="56"/>
    </row>
    <row r="30" spans="2:10" ht="14.25" customHeight="1" x14ac:dyDescent="0.3">
      <c r="B30" s="56"/>
      <c r="C30" s="56"/>
      <c r="D30" s="57" t="str">
        <f>IFERROR(INDEX('DELAY CODE REGISTER'!$C$6:$C$49,MATCH(C30,'DELAY CODE REGISTER'!$B$6:$B$49,0)),"")</f>
        <v/>
      </c>
      <c r="E30" s="55"/>
      <c r="F30" s="55"/>
      <c r="G30" s="29" t="str">
        <f t="shared" si="0"/>
        <v/>
      </c>
      <c r="H30" s="27" t="str">
        <f>IFERROR(G30/'SETUP &amp; TARGETS'!$C9,"")</f>
        <v/>
      </c>
      <c r="I30" s="57" t="str">
        <f>IFERROR(INDEX('DELAY CODE REGISTER'!$E$6:$E$49,MATCH(C30,'DELAY CODE REGISTER'!$B$6:$B$49,0)),"")</f>
        <v/>
      </c>
      <c r="J30" s="56"/>
    </row>
    <row r="31" spans="2:10" ht="14.25" customHeight="1" x14ac:dyDescent="0.3">
      <c r="B31" s="56"/>
      <c r="C31" s="56"/>
      <c r="D31" s="57" t="str">
        <f>IFERROR(INDEX('DELAY CODE REGISTER'!$C$6:$C$49,MATCH(C31,'DELAY CODE REGISTER'!$B$6:$B$49,0)),"")</f>
        <v/>
      </c>
      <c r="E31" s="55"/>
      <c r="F31" s="55"/>
      <c r="G31" s="29" t="str">
        <f t="shared" si="0"/>
        <v/>
      </c>
      <c r="H31" s="27" t="str">
        <f>IFERROR(G31/'SETUP &amp; TARGETS'!$C9,"")</f>
        <v/>
      </c>
      <c r="I31" s="57" t="str">
        <f>IFERROR(INDEX('DELAY CODE REGISTER'!$E$6:$E$49,MATCH(C31,'DELAY CODE REGISTER'!$B$6:$B$49,0)),"")</f>
        <v/>
      </c>
      <c r="J31" s="56"/>
    </row>
    <row r="32" spans="2:10" ht="14.25" customHeight="1" x14ac:dyDescent="0.3">
      <c r="B32" s="56"/>
      <c r="C32" s="56"/>
      <c r="D32" s="57" t="str">
        <f>IFERROR(INDEX('DELAY CODE REGISTER'!$C$6:$C$49,MATCH(C32,'DELAY CODE REGISTER'!$B$6:$B$49,0)),"")</f>
        <v/>
      </c>
      <c r="E32" s="55"/>
      <c r="F32" s="55"/>
      <c r="G32" s="29" t="str">
        <f t="shared" si="0"/>
        <v/>
      </c>
      <c r="H32" s="27" t="str">
        <f>IFERROR(G32/'SETUP &amp; TARGETS'!$C9,"")</f>
        <v/>
      </c>
      <c r="I32" s="57" t="str">
        <f>IFERROR(INDEX('DELAY CODE REGISTER'!$E$6:$E$49,MATCH(C32,'DELAY CODE REGISTER'!$B$6:$B$49,0)),"")</f>
        <v/>
      </c>
      <c r="J32" s="56"/>
    </row>
    <row r="33" spans="2:10" ht="14.25" customHeight="1" x14ac:dyDescent="0.3">
      <c r="B33" s="56"/>
      <c r="C33" s="56"/>
      <c r="D33" s="57" t="str">
        <f>IFERROR(INDEX('DELAY CODE REGISTER'!$C$6:$C$49,MATCH(C33,'DELAY CODE REGISTER'!$B$6:$B$49,0)),"")</f>
        <v/>
      </c>
      <c r="E33" s="55"/>
      <c r="F33" s="55"/>
      <c r="G33" s="29" t="str">
        <f t="shared" si="0"/>
        <v/>
      </c>
      <c r="H33" s="27" t="str">
        <f>IFERROR(G33/'SETUP &amp; TARGETS'!$C9,"")</f>
        <v/>
      </c>
      <c r="I33" s="57" t="str">
        <f>IFERROR(INDEX('DELAY CODE REGISTER'!$E$6:$E$49,MATCH(C33,'DELAY CODE REGISTER'!$B$6:$B$49,0)),"")</f>
        <v/>
      </c>
      <c r="J33" s="56"/>
    </row>
    <row r="34" spans="2:10" ht="14.25" customHeight="1" x14ac:dyDescent="0.3">
      <c r="B34" s="56"/>
      <c r="C34" s="56"/>
      <c r="D34" s="57" t="str">
        <f>IFERROR(INDEX('DELAY CODE REGISTER'!$C$6:$C$49,MATCH(C34,'DELAY CODE REGISTER'!$B$6:$B$49,0)),"")</f>
        <v/>
      </c>
      <c r="E34" s="55"/>
      <c r="F34" s="55"/>
      <c r="G34" s="29" t="str">
        <f t="shared" si="0"/>
        <v/>
      </c>
      <c r="H34" s="27" t="str">
        <f>IFERROR(G34/'SETUP &amp; TARGETS'!$C9,"")</f>
        <v/>
      </c>
      <c r="I34" s="57" t="str">
        <f>IFERROR(INDEX('DELAY CODE REGISTER'!$E$6:$E$49,MATCH(C34,'DELAY CODE REGISTER'!$B$6:$B$49,0)),"")</f>
        <v/>
      </c>
      <c r="J34" s="56"/>
    </row>
    <row r="35" spans="2:10" ht="14.25" customHeight="1" x14ac:dyDescent="0.3">
      <c r="B35" s="56"/>
      <c r="C35" s="56"/>
      <c r="D35" s="57" t="str">
        <f>IFERROR(INDEX('DELAY CODE REGISTER'!$C$6:$C$49,MATCH(C35,'DELAY CODE REGISTER'!$B$6:$B$49,0)),"")</f>
        <v/>
      </c>
      <c r="E35" s="55"/>
      <c r="F35" s="55"/>
      <c r="G35" s="29" t="str">
        <f t="shared" si="0"/>
        <v/>
      </c>
      <c r="H35" s="27" t="str">
        <f>IFERROR(G35/'SETUP &amp; TARGETS'!$C9,"")</f>
        <v/>
      </c>
      <c r="I35" s="57" t="str">
        <f>IFERROR(INDEX('DELAY CODE REGISTER'!$E$6:$E$49,MATCH(C35,'DELAY CODE REGISTER'!$B$6:$B$49,0)),"")</f>
        <v/>
      </c>
      <c r="J35" s="56"/>
    </row>
    <row r="36" spans="2:10" ht="14.25" customHeight="1" x14ac:dyDescent="0.3">
      <c r="B36" s="56"/>
      <c r="C36" s="56"/>
      <c r="D36" s="57" t="str">
        <f>IFERROR(INDEX('DELAY CODE REGISTER'!$C$6:$C$49,MATCH(C36,'DELAY CODE REGISTER'!$B$6:$B$49,0)),"")</f>
        <v/>
      </c>
      <c r="E36" s="55"/>
      <c r="F36" s="55"/>
      <c r="G36" s="29" t="str">
        <f t="shared" si="0"/>
        <v/>
      </c>
      <c r="H36" s="27" t="str">
        <f>IFERROR(G36/'SETUP &amp; TARGETS'!$C9,"")</f>
        <v/>
      </c>
      <c r="I36" s="57" t="str">
        <f>IFERROR(INDEX('DELAY CODE REGISTER'!$E$6:$E$49,MATCH(C36,'DELAY CODE REGISTER'!$B$6:$B$49,0)),"")</f>
        <v/>
      </c>
      <c r="J36" s="56"/>
    </row>
    <row r="37" spans="2:10" ht="14.25" customHeight="1" x14ac:dyDescent="0.3">
      <c r="B37" s="56"/>
      <c r="C37" s="56"/>
      <c r="D37" s="57" t="str">
        <f>IFERROR(INDEX('DELAY CODE REGISTER'!$C$6:$C$49,MATCH(C37,'DELAY CODE REGISTER'!$B$6:$B$49,0)),"")</f>
        <v/>
      </c>
      <c r="E37" s="55"/>
      <c r="F37" s="55"/>
      <c r="G37" s="29" t="str">
        <f t="shared" si="0"/>
        <v/>
      </c>
      <c r="H37" s="27" t="str">
        <f>IFERROR(G37/'SETUP &amp; TARGETS'!$C9,"")</f>
        <v/>
      </c>
      <c r="I37" s="57" t="str">
        <f>IFERROR(INDEX('DELAY CODE REGISTER'!$E$6:$E$49,MATCH(C37,'DELAY CODE REGISTER'!$B$6:$B$49,0)),"")</f>
        <v/>
      </c>
      <c r="J37" s="56"/>
    </row>
    <row r="38" spans="2:10" ht="14.25" customHeight="1" x14ac:dyDescent="0.3">
      <c r="B38" s="56"/>
      <c r="C38" s="56"/>
      <c r="D38" s="57" t="str">
        <f>IFERROR(INDEX('DELAY CODE REGISTER'!$C$6:$C$49,MATCH(C38,'DELAY CODE REGISTER'!$B$6:$B$49,0)),"")</f>
        <v/>
      </c>
      <c r="E38" s="55"/>
      <c r="F38" s="55"/>
      <c r="G38" s="29" t="str">
        <f t="shared" si="0"/>
        <v/>
      </c>
      <c r="H38" s="27" t="str">
        <f>IFERROR(G38/'SETUP &amp; TARGETS'!$C9,"")</f>
        <v/>
      </c>
      <c r="I38" s="57" t="str">
        <f>IFERROR(INDEX('DELAY CODE REGISTER'!$E$6:$E$49,MATCH(C38,'DELAY CODE REGISTER'!$B$6:$B$49,0)),"")</f>
        <v/>
      </c>
      <c r="J38" s="56"/>
    </row>
    <row r="39" spans="2:10" ht="14.25" customHeight="1" x14ac:dyDescent="0.3">
      <c r="B39" s="56"/>
      <c r="C39" s="56"/>
      <c r="D39" s="57" t="str">
        <f>IFERROR(INDEX('DELAY CODE REGISTER'!$C$6:$C$49,MATCH(C39,'DELAY CODE REGISTER'!$B$6:$B$49,0)),"")</f>
        <v/>
      </c>
      <c r="E39" s="55"/>
      <c r="F39" s="55"/>
      <c r="G39" s="29" t="str">
        <f t="shared" ref="G39:G56" si="1">IF(AND(E39="",F39=""),"",N(E39)+N(F39))</f>
        <v/>
      </c>
      <c r="H39" s="27" t="str">
        <f>IFERROR(G39/'SETUP &amp; TARGETS'!$C9,"")</f>
        <v/>
      </c>
      <c r="I39" s="57" t="str">
        <f>IFERROR(INDEX('DELAY CODE REGISTER'!$E$6:$E$49,MATCH(C39,'DELAY CODE REGISTER'!$B$6:$B$49,0)),"")</f>
        <v/>
      </c>
      <c r="J39" s="56"/>
    </row>
    <row r="40" spans="2:10" ht="14.25" customHeight="1" x14ac:dyDescent="0.3">
      <c r="B40" s="56"/>
      <c r="C40" s="56"/>
      <c r="D40" s="57" t="str">
        <f>IFERROR(INDEX('DELAY CODE REGISTER'!$C$6:$C$49,MATCH(C40,'DELAY CODE REGISTER'!$B$6:$B$49,0)),"")</f>
        <v/>
      </c>
      <c r="E40" s="55"/>
      <c r="F40" s="55"/>
      <c r="G40" s="29" t="str">
        <f t="shared" si="1"/>
        <v/>
      </c>
      <c r="H40" s="27" t="str">
        <f>IFERROR(G40/'SETUP &amp; TARGETS'!$C9,"")</f>
        <v/>
      </c>
      <c r="I40" s="57" t="str">
        <f>IFERROR(INDEX('DELAY CODE REGISTER'!$E$6:$E$49,MATCH(C40,'DELAY CODE REGISTER'!$B$6:$B$49,0)),"")</f>
        <v/>
      </c>
      <c r="J40" s="56"/>
    </row>
    <row r="41" spans="2:10" ht="14.25" customHeight="1" x14ac:dyDescent="0.3">
      <c r="B41" s="56"/>
      <c r="C41" s="56"/>
      <c r="D41" s="57" t="str">
        <f>IFERROR(INDEX('DELAY CODE REGISTER'!$C$6:$C$49,MATCH(C41,'DELAY CODE REGISTER'!$B$6:$B$49,0)),"")</f>
        <v/>
      </c>
      <c r="E41" s="55"/>
      <c r="F41" s="55"/>
      <c r="G41" s="29" t="str">
        <f t="shared" si="1"/>
        <v/>
      </c>
      <c r="H41" s="27" t="str">
        <f>IFERROR(G41/'SETUP &amp; TARGETS'!$C9,"")</f>
        <v/>
      </c>
      <c r="I41" s="57" t="str">
        <f>IFERROR(INDEX('DELAY CODE REGISTER'!$E$6:$E$49,MATCH(C41,'DELAY CODE REGISTER'!$B$6:$B$49,0)),"")</f>
        <v/>
      </c>
      <c r="J41" s="56"/>
    </row>
    <row r="42" spans="2:10" ht="14.25" customHeight="1" x14ac:dyDescent="0.3">
      <c r="B42" s="56"/>
      <c r="C42" s="56"/>
      <c r="D42" s="57" t="str">
        <f>IFERROR(INDEX('DELAY CODE REGISTER'!$C$6:$C$49,MATCH(C42,'DELAY CODE REGISTER'!$B$6:$B$49,0)),"")</f>
        <v/>
      </c>
      <c r="E42" s="55"/>
      <c r="F42" s="55"/>
      <c r="G42" s="29" t="str">
        <f t="shared" si="1"/>
        <v/>
      </c>
      <c r="H42" s="27" t="str">
        <f>IFERROR(G42/'SETUP &amp; TARGETS'!$C9,"")</f>
        <v/>
      </c>
      <c r="I42" s="57" t="str">
        <f>IFERROR(INDEX('DELAY CODE REGISTER'!$E$6:$E$49,MATCH(C42,'DELAY CODE REGISTER'!$B$6:$B$49,0)),"")</f>
        <v/>
      </c>
      <c r="J42" s="56"/>
    </row>
    <row r="43" spans="2:10" ht="14.25" customHeight="1" x14ac:dyDescent="0.3">
      <c r="B43" s="56"/>
      <c r="C43" s="56"/>
      <c r="D43" s="57" t="str">
        <f>IFERROR(INDEX('DELAY CODE REGISTER'!$C$6:$C$49,MATCH(C43,'DELAY CODE REGISTER'!$B$6:$B$49,0)),"")</f>
        <v/>
      </c>
      <c r="E43" s="55"/>
      <c r="F43" s="55"/>
      <c r="G43" s="29" t="str">
        <f t="shared" si="1"/>
        <v/>
      </c>
      <c r="H43" s="27" t="str">
        <f>IFERROR(G43/'SETUP &amp; TARGETS'!$C9,"")</f>
        <v/>
      </c>
      <c r="I43" s="57" t="str">
        <f>IFERROR(INDEX('DELAY CODE REGISTER'!$E$6:$E$49,MATCH(C43,'DELAY CODE REGISTER'!$B$6:$B$49,0)),"")</f>
        <v/>
      </c>
      <c r="J43" s="56"/>
    </row>
    <row r="44" spans="2:10" ht="14.25" customHeight="1" x14ac:dyDescent="0.3">
      <c r="B44" s="56"/>
      <c r="C44" s="56"/>
      <c r="D44" s="57" t="str">
        <f>IFERROR(INDEX('DELAY CODE REGISTER'!$C$6:$C$49,MATCH(C44,'DELAY CODE REGISTER'!$B$6:$B$49,0)),"")</f>
        <v/>
      </c>
      <c r="E44" s="55"/>
      <c r="F44" s="55"/>
      <c r="G44" s="29" t="str">
        <f t="shared" si="1"/>
        <v/>
      </c>
      <c r="H44" s="27" t="str">
        <f>IFERROR(G44/'SETUP &amp; TARGETS'!$C9,"")</f>
        <v/>
      </c>
      <c r="I44" s="57" t="str">
        <f>IFERROR(INDEX('DELAY CODE REGISTER'!$E$6:$E$49,MATCH(C44,'DELAY CODE REGISTER'!$B$6:$B$49,0)),"")</f>
        <v/>
      </c>
      <c r="J44" s="56"/>
    </row>
    <row r="45" spans="2:10" ht="14.25" customHeight="1" x14ac:dyDescent="0.3">
      <c r="B45" s="56"/>
      <c r="C45" s="56"/>
      <c r="D45" s="57" t="str">
        <f>IFERROR(INDEX('DELAY CODE REGISTER'!$C$6:$C$49,MATCH(C45,'DELAY CODE REGISTER'!$B$6:$B$49,0)),"")</f>
        <v/>
      </c>
      <c r="E45" s="55"/>
      <c r="F45" s="55"/>
      <c r="G45" s="29" t="str">
        <f t="shared" si="1"/>
        <v/>
      </c>
      <c r="H45" s="27" t="str">
        <f>IFERROR(G45/'SETUP &amp; TARGETS'!$C9,"")</f>
        <v/>
      </c>
      <c r="I45" s="57" t="str">
        <f>IFERROR(INDEX('DELAY CODE REGISTER'!$E$6:$E$49,MATCH(C45,'DELAY CODE REGISTER'!$B$6:$B$49,0)),"")</f>
        <v/>
      </c>
      <c r="J45" s="56"/>
    </row>
    <row r="46" spans="2:10" ht="14.25" customHeight="1" x14ac:dyDescent="0.3">
      <c r="B46" s="56"/>
      <c r="C46" s="56"/>
      <c r="D46" s="57" t="str">
        <f>IFERROR(INDEX('DELAY CODE REGISTER'!$C$6:$C$49,MATCH(C46,'DELAY CODE REGISTER'!$B$6:$B$49,0)),"")</f>
        <v/>
      </c>
      <c r="E46" s="55"/>
      <c r="F46" s="55"/>
      <c r="G46" s="29" t="str">
        <f t="shared" si="1"/>
        <v/>
      </c>
      <c r="H46" s="27" t="str">
        <f>IFERROR(G46/'SETUP &amp; TARGETS'!$C9,"")</f>
        <v/>
      </c>
      <c r="I46" s="57" t="str">
        <f>IFERROR(INDEX('DELAY CODE REGISTER'!$E$6:$E$49,MATCH(C46,'DELAY CODE REGISTER'!$B$6:$B$49,0)),"")</f>
        <v/>
      </c>
      <c r="J46" s="56"/>
    </row>
    <row r="47" spans="2:10" ht="14.25" customHeight="1" x14ac:dyDescent="0.3">
      <c r="B47" s="56"/>
      <c r="C47" s="56"/>
      <c r="D47" s="57" t="str">
        <f>IFERROR(INDEX('DELAY CODE REGISTER'!$C$6:$C$49,MATCH(C47,'DELAY CODE REGISTER'!$B$6:$B$49,0)),"")</f>
        <v/>
      </c>
      <c r="E47" s="55"/>
      <c r="F47" s="55"/>
      <c r="G47" s="29" t="str">
        <f t="shared" si="1"/>
        <v/>
      </c>
      <c r="H47" s="27" t="str">
        <f>IFERROR(G47/'SETUP &amp; TARGETS'!$C9,"")</f>
        <v/>
      </c>
      <c r="I47" s="57" t="str">
        <f>IFERROR(INDEX('DELAY CODE REGISTER'!$E$6:$E$49,MATCH(C47,'DELAY CODE REGISTER'!$B$6:$B$49,0)),"")</f>
        <v/>
      </c>
      <c r="J47" s="56"/>
    </row>
    <row r="48" spans="2:10" ht="14.25" customHeight="1" x14ac:dyDescent="0.3">
      <c r="B48" s="56"/>
      <c r="C48" s="56"/>
      <c r="D48" s="57" t="str">
        <f>IFERROR(INDEX('DELAY CODE REGISTER'!$C$6:$C$49,MATCH(C48,'DELAY CODE REGISTER'!$B$6:$B$49,0)),"")</f>
        <v/>
      </c>
      <c r="E48" s="55"/>
      <c r="F48" s="55"/>
      <c r="G48" s="29" t="str">
        <f t="shared" si="1"/>
        <v/>
      </c>
      <c r="H48" s="27" t="str">
        <f>IFERROR(G48/'SETUP &amp; TARGETS'!$C9,"")</f>
        <v/>
      </c>
      <c r="I48" s="57" t="str">
        <f>IFERROR(INDEX('DELAY CODE REGISTER'!$E$6:$E$49,MATCH(C48,'DELAY CODE REGISTER'!$B$6:$B$49,0)),"")</f>
        <v/>
      </c>
      <c r="J48" s="56"/>
    </row>
    <row r="49" spans="2:10" ht="14.25" customHeight="1" x14ac:dyDescent="0.3">
      <c r="B49" s="56"/>
      <c r="C49" s="56"/>
      <c r="D49" s="57" t="str">
        <f>IFERROR(INDEX('DELAY CODE REGISTER'!$C$6:$C$49,MATCH(C49,'DELAY CODE REGISTER'!$B$6:$B$49,0)),"")</f>
        <v/>
      </c>
      <c r="E49" s="55"/>
      <c r="F49" s="55"/>
      <c r="G49" s="29" t="str">
        <f t="shared" si="1"/>
        <v/>
      </c>
      <c r="H49" s="27" t="str">
        <f>IFERROR(G49/'SETUP &amp; TARGETS'!$C9,"")</f>
        <v/>
      </c>
      <c r="I49" s="57" t="str">
        <f>IFERROR(INDEX('DELAY CODE REGISTER'!$E$6:$E$49,MATCH(C49,'DELAY CODE REGISTER'!$B$6:$B$49,0)),"")</f>
        <v/>
      </c>
      <c r="J49" s="56"/>
    </row>
    <row r="50" spans="2:10" ht="14.25" customHeight="1" x14ac:dyDescent="0.3">
      <c r="B50" s="56"/>
      <c r="C50" s="56"/>
      <c r="D50" s="57" t="str">
        <f>IFERROR(INDEX('DELAY CODE REGISTER'!$C$6:$C$49,MATCH(C50,'DELAY CODE REGISTER'!$B$6:$B$49,0)),"")</f>
        <v/>
      </c>
      <c r="E50" s="55"/>
      <c r="F50" s="55"/>
      <c r="G50" s="29" t="str">
        <f t="shared" si="1"/>
        <v/>
      </c>
      <c r="H50" s="27" t="str">
        <f>IFERROR(G50/'SETUP &amp; TARGETS'!$C9,"")</f>
        <v/>
      </c>
      <c r="I50" s="57" t="str">
        <f>IFERROR(INDEX('DELAY CODE REGISTER'!$E$6:$E$49,MATCH(C50,'DELAY CODE REGISTER'!$B$6:$B$49,0)),"")</f>
        <v/>
      </c>
      <c r="J50" s="56"/>
    </row>
    <row r="51" spans="2:10" ht="14.25" customHeight="1" x14ac:dyDescent="0.3">
      <c r="B51" s="56"/>
      <c r="C51" s="56"/>
      <c r="D51" s="57" t="str">
        <f>IFERROR(INDEX('DELAY CODE REGISTER'!$C$6:$C$49,MATCH(C51,'DELAY CODE REGISTER'!$B$6:$B$49,0)),"")</f>
        <v/>
      </c>
      <c r="E51" s="55"/>
      <c r="F51" s="55"/>
      <c r="G51" s="29" t="str">
        <f t="shared" si="1"/>
        <v/>
      </c>
      <c r="H51" s="27" t="str">
        <f>IFERROR(G51/'SETUP &amp; TARGETS'!$C9,"")</f>
        <v/>
      </c>
      <c r="I51" s="57" t="str">
        <f>IFERROR(INDEX('DELAY CODE REGISTER'!$E$6:$E$49,MATCH(C51,'DELAY CODE REGISTER'!$B$6:$B$49,0)),"")</f>
        <v/>
      </c>
      <c r="J51" s="56"/>
    </row>
    <row r="52" spans="2:10" ht="14.25" customHeight="1" x14ac:dyDescent="0.3">
      <c r="B52" s="56"/>
      <c r="C52" s="56"/>
      <c r="D52" s="57" t="str">
        <f>IFERROR(INDEX('DELAY CODE REGISTER'!$C$6:$C$49,MATCH(C52,'DELAY CODE REGISTER'!$B$6:$B$49,0)),"")</f>
        <v/>
      </c>
      <c r="E52" s="55"/>
      <c r="F52" s="55"/>
      <c r="G52" s="29" t="str">
        <f t="shared" si="1"/>
        <v/>
      </c>
      <c r="H52" s="27" t="str">
        <f>IFERROR(G52/'SETUP &amp; TARGETS'!$C9,"")</f>
        <v/>
      </c>
      <c r="I52" s="57" t="str">
        <f>IFERROR(INDEX('DELAY CODE REGISTER'!$E$6:$E$49,MATCH(C52,'DELAY CODE REGISTER'!$B$6:$B$49,0)),"")</f>
        <v/>
      </c>
      <c r="J52" s="56"/>
    </row>
    <row r="53" spans="2:10" ht="14.25" customHeight="1" x14ac:dyDescent="0.3">
      <c r="B53" s="56"/>
      <c r="C53" s="56"/>
      <c r="D53" s="57" t="str">
        <f>IFERROR(INDEX('DELAY CODE REGISTER'!$C$6:$C$49,MATCH(C53,'DELAY CODE REGISTER'!$B$6:$B$49,0)),"")</f>
        <v/>
      </c>
      <c r="E53" s="55"/>
      <c r="F53" s="55"/>
      <c r="G53" s="29" t="str">
        <f t="shared" si="1"/>
        <v/>
      </c>
      <c r="H53" s="27" t="str">
        <f>IFERROR(G53/'SETUP &amp; TARGETS'!$C9,"")</f>
        <v/>
      </c>
      <c r="I53" s="57" t="str">
        <f>IFERROR(INDEX('DELAY CODE REGISTER'!$E$6:$E$49,MATCH(C53,'DELAY CODE REGISTER'!$B$6:$B$49,0)),"")</f>
        <v/>
      </c>
      <c r="J53" s="56"/>
    </row>
    <row r="54" spans="2:10" ht="14.25" customHeight="1" x14ac:dyDescent="0.3">
      <c r="B54" s="56"/>
      <c r="C54" s="56"/>
      <c r="D54" s="57" t="str">
        <f>IFERROR(INDEX('DELAY CODE REGISTER'!$C$6:$C$49,MATCH(C54,'DELAY CODE REGISTER'!$B$6:$B$49,0)),"")</f>
        <v/>
      </c>
      <c r="E54" s="55"/>
      <c r="F54" s="55"/>
      <c r="G54" s="29" t="str">
        <f t="shared" si="1"/>
        <v/>
      </c>
      <c r="H54" s="27" t="str">
        <f>IFERROR(G54/'SETUP &amp; TARGETS'!$C9,"")</f>
        <v/>
      </c>
      <c r="I54" s="57" t="str">
        <f>IFERROR(INDEX('DELAY CODE REGISTER'!$E$6:$E$49,MATCH(C54,'DELAY CODE REGISTER'!$B$6:$B$49,0)),"")</f>
        <v/>
      </c>
      <c r="J54" s="56"/>
    </row>
    <row r="55" spans="2:10" ht="14.25" customHeight="1" x14ac:dyDescent="0.3">
      <c r="B55" s="56"/>
      <c r="C55" s="56"/>
      <c r="D55" s="57" t="str">
        <f>IFERROR(INDEX('DELAY CODE REGISTER'!$C$6:$C$49,MATCH(C55,'DELAY CODE REGISTER'!$B$6:$B$49,0)),"")</f>
        <v/>
      </c>
      <c r="E55" s="55"/>
      <c r="F55" s="55"/>
      <c r="G55" s="29" t="str">
        <f t="shared" si="1"/>
        <v/>
      </c>
      <c r="H55" s="27" t="str">
        <f>IFERROR(G55/'SETUP &amp; TARGETS'!$C9,"")</f>
        <v/>
      </c>
      <c r="I55" s="57" t="str">
        <f>IFERROR(INDEX('DELAY CODE REGISTER'!$E$6:$E$49,MATCH(C55,'DELAY CODE REGISTER'!$B$6:$B$49,0)),"")</f>
        <v/>
      </c>
      <c r="J55" s="56"/>
    </row>
    <row r="56" spans="2:10" ht="14.25" customHeight="1" x14ac:dyDescent="0.3">
      <c r="B56" s="56"/>
      <c r="C56" s="56"/>
      <c r="D56" s="57" t="str">
        <f>IFERROR(INDEX('DELAY CODE REGISTER'!$C$6:$C$49,MATCH(C56,'DELAY CODE REGISTER'!$B$6:$B$49,0)),"")</f>
        <v/>
      </c>
      <c r="E56" s="55"/>
      <c r="F56" s="55"/>
      <c r="G56" s="29" t="str">
        <f t="shared" si="1"/>
        <v/>
      </c>
      <c r="H56" s="27" t="str">
        <f>IFERROR(G56/'SETUP &amp; TARGETS'!$C9,"")</f>
        <v/>
      </c>
      <c r="I56" s="57" t="str">
        <f>IFERROR(INDEX('DELAY CODE REGISTER'!$E$6:$E$49,MATCH(C56,'DELAY CODE REGISTER'!$B$6:$B$49,0)),"")</f>
        <v/>
      </c>
      <c r="J56" s="56"/>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D00-000000000000}">
          <x14:formula1>
            <xm:f>'DELAY CODE REGISTER'!$B$6:$B$49</xm:f>
          </x14:formula1>
          <x14:formula2>
            <xm:f>0</xm:f>
          </x14:formula2>
          <xm:sqref>C7:C56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J25"/>
  <sheetViews>
    <sheetView showGridLines="0" zoomScaleNormal="100" workbookViewId="0">
      <selection activeCell="C10" sqref="C10"/>
    </sheetView>
  </sheetViews>
  <sheetFormatPr defaultColWidth="8.6640625" defaultRowHeight="14.4" x14ac:dyDescent="0.3"/>
  <cols>
    <col min="2" max="2" width="66.77734375" customWidth="1"/>
    <col min="3" max="3" width="24" customWidth="1"/>
    <col min="4" max="4" width="18" customWidth="1"/>
    <col min="5" max="5" width="12" customWidth="1"/>
    <col min="6" max="9" width="11" customWidth="1"/>
    <col min="10" max="10" width="12" customWidth="1"/>
    <col min="11" max="11" width="11" customWidth="1"/>
  </cols>
  <sheetData>
    <row r="2" spans="2:10" ht="18" customHeight="1" x14ac:dyDescent="0.35">
      <c r="B2" s="13" t="s">
        <v>343</v>
      </c>
    </row>
    <row r="3" spans="2:10" ht="14.25" customHeight="1" x14ac:dyDescent="0.3">
      <c r="B3" s="14" t="s">
        <v>43</v>
      </c>
    </row>
    <row r="4" spans="2:10" ht="14.25" customHeight="1" x14ac:dyDescent="0.3">
      <c r="B4" s="15" t="s">
        <v>344</v>
      </c>
    </row>
    <row r="6" spans="2:10" ht="14.25" customHeight="1" x14ac:dyDescent="0.3">
      <c r="B6" s="79" t="s">
        <v>345</v>
      </c>
      <c r="D6" s="54">
        <v>9</v>
      </c>
    </row>
    <row r="7" spans="2:10" ht="14.25" customHeight="1" x14ac:dyDescent="0.3">
      <c r="B7" s="79" t="s">
        <v>346</v>
      </c>
      <c r="D7" s="80">
        <f>ROUNDUP($D$6/4,0)</f>
        <v>3</v>
      </c>
    </row>
    <row r="9" spans="2:10" ht="30" customHeight="1" x14ac:dyDescent="0.3">
      <c r="B9" s="16" t="s">
        <v>142</v>
      </c>
      <c r="C9" s="16" t="s">
        <v>143</v>
      </c>
      <c r="D9" s="16" t="s">
        <v>347</v>
      </c>
      <c r="E9" s="16" t="s">
        <v>348</v>
      </c>
      <c r="F9" s="16" t="s">
        <v>349</v>
      </c>
      <c r="G9" s="16" t="s">
        <v>350</v>
      </c>
      <c r="H9" s="16" t="s">
        <v>351</v>
      </c>
      <c r="I9" s="16" t="s">
        <v>352</v>
      </c>
      <c r="J9" s="16" t="s">
        <v>67</v>
      </c>
    </row>
    <row r="10" spans="2:10" ht="14.25" customHeight="1" x14ac:dyDescent="0.3">
      <c r="B10" s="56" t="s">
        <v>553</v>
      </c>
      <c r="C10" s="56" t="s">
        <v>554</v>
      </c>
      <c r="D10" s="28">
        <f t="shared" ref="D10:D25" si="0">IF(B10="","",$D$6)</f>
        <v>9</v>
      </c>
      <c r="E10" s="56">
        <v>3</v>
      </c>
      <c r="F10" s="56">
        <v>3</v>
      </c>
      <c r="G10" s="56">
        <v>2</v>
      </c>
      <c r="H10" s="56">
        <v>1</v>
      </c>
      <c r="I10" s="28">
        <f t="shared" ref="I10:I25" si="1">IF(B10="","",SUM(E10:H10))</f>
        <v>9</v>
      </c>
      <c r="J10" s="27">
        <f t="shared" ref="J10:J25" si="2">IF(B10="","",IFERROR(I10/D10,0))</f>
        <v>1</v>
      </c>
    </row>
    <row r="11" spans="2:10" ht="14.25" customHeight="1" x14ac:dyDescent="0.3">
      <c r="B11" s="56"/>
      <c r="C11" s="56"/>
      <c r="D11" s="28" t="str">
        <f t="shared" si="0"/>
        <v/>
      </c>
      <c r="E11" s="56"/>
      <c r="F11" s="56" t="s">
        <v>555</v>
      </c>
      <c r="G11" s="56"/>
      <c r="H11" s="56"/>
      <c r="I11" s="28" t="str">
        <f t="shared" si="1"/>
        <v/>
      </c>
      <c r="J11" s="27" t="str">
        <f t="shared" si="2"/>
        <v/>
      </c>
    </row>
    <row r="12" spans="2:10" ht="14.25" customHeight="1" x14ac:dyDescent="0.3">
      <c r="B12" s="56"/>
      <c r="C12" s="56"/>
      <c r="D12" s="28" t="str">
        <f t="shared" si="0"/>
        <v/>
      </c>
      <c r="E12" s="56"/>
      <c r="F12" s="56"/>
      <c r="G12" s="56"/>
      <c r="H12" s="56"/>
      <c r="I12" s="28" t="str">
        <f t="shared" si="1"/>
        <v/>
      </c>
      <c r="J12" s="27" t="str">
        <f t="shared" si="2"/>
        <v/>
      </c>
    </row>
    <row r="13" spans="2:10" ht="14.25" customHeight="1" x14ac:dyDescent="0.3">
      <c r="B13" s="56"/>
      <c r="C13" s="56"/>
      <c r="D13" s="28" t="str">
        <f t="shared" si="0"/>
        <v/>
      </c>
      <c r="E13" s="56"/>
      <c r="F13" s="56"/>
      <c r="G13" s="56"/>
      <c r="H13" s="56"/>
      <c r="I13" s="28" t="str">
        <f t="shared" si="1"/>
        <v/>
      </c>
      <c r="J13" s="27" t="str">
        <f t="shared" si="2"/>
        <v/>
      </c>
    </row>
    <row r="14" spans="2:10" ht="14.25" customHeight="1" x14ac:dyDescent="0.3">
      <c r="B14" s="56"/>
      <c r="C14" s="56"/>
      <c r="D14" s="28" t="str">
        <f t="shared" si="0"/>
        <v/>
      </c>
      <c r="E14" s="56"/>
      <c r="F14" s="56"/>
      <c r="G14" s="56"/>
      <c r="H14" s="56"/>
      <c r="I14" s="28" t="str">
        <f t="shared" si="1"/>
        <v/>
      </c>
      <c r="J14" s="27" t="str">
        <f t="shared" si="2"/>
        <v/>
      </c>
    </row>
    <row r="15" spans="2:10" ht="14.25" customHeight="1" x14ac:dyDescent="0.3">
      <c r="B15" s="56"/>
      <c r="C15" s="56"/>
      <c r="D15" s="28" t="str">
        <f t="shared" si="0"/>
        <v/>
      </c>
      <c r="E15" s="56"/>
      <c r="F15" s="56"/>
      <c r="G15" s="56"/>
      <c r="H15" s="56"/>
      <c r="I15" s="28" t="str">
        <f t="shared" si="1"/>
        <v/>
      </c>
      <c r="J15" s="27" t="str">
        <f t="shared" si="2"/>
        <v/>
      </c>
    </row>
    <row r="16" spans="2:10" ht="14.25" customHeight="1" x14ac:dyDescent="0.3">
      <c r="B16" s="56"/>
      <c r="C16" s="56"/>
      <c r="D16" s="28" t="str">
        <f t="shared" si="0"/>
        <v/>
      </c>
      <c r="E16" s="56"/>
      <c r="F16" s="56"/>
      <c r="G16" s="56"/>
      <c r="H16" s="56"/>
      <c r="I16" s="28" t="str">
        <f t="shared" si="1"/>
        <v/>
      </c>
      <c r="J16" s="27" t="str">
        <f t="shared" si="2"/>
        <v/>
      </c>
    </row>
    <row r="17" spans="2:10" ht="14.25" customHeight="1" x14ac:dyDescent="0.3">
      <c r="B17" s="56"/>
      <c r="C17" s="56"/>
      <c r="D17" s="28" t="str">
        <f t="shared" si="0"/>
        <v/>
      </c>
      <c r="E17" s="56"/>
      <c r="F17" s="56"/>
      <c r="G17" s="56"/>
      <c r="H17" s="56"/>
      <c r="I17" s="28" t="str">
        <f t="shared" si="1"/>
        <v/>
      </c>
      <c r="J17" s="27" t="str">
        <f t="shared" si="2"/>
        <v/>
      </c>
    </row>
    <row r="18" spans="2:10" ht="14.25" customHeight="1" x14ac:dyDescent="0.3">
      <c r="B18" s="56"/>
      <c r="C18" s="56"/>
      <c r="D18" s="28" t="str">
        <f t="shared" si="0"/>
        <v/>
      </c>
      <c r="E18" s="56"/>
      <c r="F18" s="56"/>
      <c r="G18" s="56"/>
      <c r="H18" s="56"/>
      <c r="I18" s="28" t="str">
        <f t="shared" si="1"/>
        <v/>
      </c>
      <c r="J18" s="27" t="str">
        <f t="shared" si="2"/>
        <v/>
      </c>
    </row>
    <row r="19" spans="2:10" ht="14.25" customHeight="1" x14ac:dyDescent="0.3">
      <c r="B19" s="56"/>
      <c r="C19" s="56"/>
      <c r="D19" s="28" t="str">
        <f t="shared" si="0"/>
        <v/>
      </c>
      <c r="E19" s="56"/>
      <c r="F19" s="56"/>
      <c r="G19" s="56"/>
      <c r="H19" s="56"/>
      <c r="I19" s="28" t="str">
        <f t="shared" si="1"/>
        <v/>
      </c>
      <c r="J19" s="27" t="str">
        <f t="shared" si="2"/>
        <v/>
      </c>
    </row>
    <row r="20" spans="2:10" ht="14.25" customHeight="1" x14ac:dyDescent="0.3">
      <c r="B20" s="56"/>
      <c r="C20" s="56"/>
      <c r="D20" s="28" t="str">
        <f t="shared" si="0"/>
        <v/>
      </c>
      <c r="E20" s="56"/>
      <c r="F20" s="56"/>
      <c r="G20" s="56"/>
      <c r="H20" s="56"/>
      <c r="I20" s="28" t="str">
        <f t="shared" si="1"/>
        <v/>
      </c>
      <c r="J20" s="27" t="str">
        <f t="shared" si="2"/>
        <v/>
      </c>
    </row>
    <row r="21" spans="2:10" ht="14.25" customHeight="1" x14ac:dyDescent="0.3">
      <c r="B21" s="56"/>
      <c r="C21" s="56"/>
      <c r="D21" s="28" t="str">
        <f t="shared" si="0"/>
        <v/>
      </c>
      <c r="E21" s="56"/>
      <c r="F21" s="56"/>
      <c r="G21" s="56"/>
      <c r="H21" s="56"/>
      <c r="I21" s="28" t="str">
        <f t="shared" si="1"/>
        <v/>
      </c>
      <c r="J21" s="27" t="str">
        <f t="shared" si="2"/>
        <v/>
      </c>
    </row>
    <row r="22" spans="2:10" ht="14.25" customHeight="1" x14ac:dyDescent="0.3">
      <c r="B22" s="56"/>
      <c r="C22" s="56"/>
      <c r="D22" s="28" t="str">
        <f t="shared" si="0"/>
        <v/>
      </c>
      <c r="E22" s="56"/>
      <c r="F22" s="56"/>
      <c r="G22" s="56"/>
      <c r="H22" s="56"/>
      <c r="I22" s="28" t="str">
        <f t="shared" si="1"/>
        <v/>
      </c>
      <c r="J22" s="27" t="str">
        <f t="shared" si="2"/>
        <v/>
      </c>
    </row>
    <row r="23" spans="2:10" ht="14.25" customHeight="1" x14ac:dyDescent="0.3">
      <c r="B23" s="56"/>
      <c r="C23" s="56"/>
      <c r="D23" s="28" t="str">
        <f t="shared" si="0"/>
        <v/>
      </c>
      <c r="E23" s="56"/>
      <c r="F23" s="56"/>
      <c r="G23" s="56"/>
      <c r="H23" s="56"/>
      <c r="I23" s="28" t="str">
        <f t="shared" si="1"/>
        <v/>
      </c>
      <c r="J23" s="27" t="str">
        <f t="shared" si="2"/>
        <v/>
      </c>
    </row>
    <row r="24" spans="2:10" ht="14.25" customHeight="1" x14ac:dyDescent="0.3">
      <c r="B24" s="56"/>
      <c r="C24" s="56"/>
      <c r="D24" s="28" t="str">
        <f t="shared" si="0"/>
        <v/>
      </c>
      <c r="E24" s="56"/>
      <c r="F24" s="56"/>
      <c r="G24" s="56"/>
      <c r="H24" s="56"/>
      <c r="I24" s="28" t="str">
        <f t="shared" si="1"/>
        <v/>
      </c>
      <c r="J24" s="27" t="str">
        <f t="shared" si="2"/>
        <v/>
      </c>
    </row>
    <row r="25" spans="2:10" ht="14.25" customHeight="1" x14ac:dyDescent="0.3">
      <c r="B25" s="56"/>
      <c r="C25" s="56"/>
      <c r="D25" s="28" t="str">
        <f t="shared" si="0"/>
        <v/>
      </c>
      <c r="E25" s="56"/>
      <c r="F25" s="56"/>
      <c r="G25" s="56"/>
      <c r="H25" s="56"/>
      <c r="I25" s="28" t="str">
        <f t="shared" si="1"/>
        <v/>
      </c>
      <c r="J25" s="27" t="str">
        <f t="shared" si="2"/>
        <v/>
      </c>
    </row>
  </sheetData>
  <conditionalFormatting sqref="K10:K25">
    <cfRule type="cellIs" dxfId="16" priority="2" operator="greaterThanOrEqual">
      <formula>1</formula>
    </cfRule>
    <cfRule type="cellIs" dxfId="15" priority="3" operator="lessThan">
      <formula>1</formula>
    </cfRule>
  </conditionalFormatting>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45"/>
  <sheetViews>
    <sheetView showGridLines="0" zoomScaleNormal="100" workbookViewId="0"/>
  </sheetViews>
  <sheetFormatPr defaultColWidth="8.6640625" defaultRowHeight="14.4" x14ac:dyDescent="0.3"/>
  <cols>
    <col min="2" max="2" width="49.21875" customWidth="1"/>
    <col min="3" max="3" width="13" customWidth="1"/>
    <col min="4" max="4" width="40" customWidth="1"/>
    <col min="5" max="7" width="13" customWidth="1"/>
    <col min="8" max="8" width="34" customWidth="1"/>
  </cols>
  <sheetData>
    <row r="2" spans="2:7" ht="18" customHeight="1" x14ac:dyDescent="0.35">
      <c r="B2" s="13" t="s">
        <v>353</v>
      </c>
    </row>
    <row r="3" spans="2:7" ht="14.25" customHeight="1" x14ac:dyDescent="0.3">
      <c r="B3" s="14" t="s">
        <v>99</v>
      </c>
    </row>
    <row r="4" spans="2:7" ht="14.25" customHeight="1" x14ac:dyDescent="0.3">
      <c r="B4" s="15" t="s">
        <v>354</v>
      </c>
    </row>
    <row r="6" spans="2:7" ht="33.75" customHeight="1" x14ac:dyDescent="0.3">
      <c r="B6" s="16" t="s">
        <v>45</v>
      </c>
      <c r="C6" s="16" t="s">
        <v>355</v>
      </c>
      <c r="D6" s="16" t="s">
        <v>356</v>
      </c>
      <c r="E6" s="16" t="s">
        <v>357</v>
      </c>
      <c r="F6" s="16" t="s">
        <v>358</v>
      </c>
      <c r="G6" s="16" t="s">
        <v>272</v>
      </c>
    </row>
    <row r="7" spans="2:7" ht="14.25" customHeight="1" x14ac:dyDescent="0.3">
      <c r="B7" s="56"/>
      <c r="C7" s="56"/>
      <c r="D7" s="55"/>
      <c r="E7" s="56"/>
      <c r="F7" s="55"/>
      <c r="G7" s="56"/>
    </row>
    <row r="8" spans="2:7" ht="14.25" customHeight="1" x14ac:dyDescent="0.3">
      <c r="B8" s="56"/>
      <c r="C8" s="56"/>
      <c r="D8" s="55"/>
      <c r="E8" s="56"/>
      <c r="F8" s="55"/>
      <c r="G8" s="56"/>
    </row>
    <row r="9" spans="2:7" ht="14.25" customHeight="1" x14ac:dyDescent="0.3">
      <c r="B9" s="56"/>
      <c r="C9" s="56"/>
      <c r="D9" s="55"/>
      <c r="E9" s="56"/>
      <c r="F9" s="55"/>
      <c r="G9" s="56"/>
    </row>
    <row r="10" spans="2:7" ht="14.25" customHeight="1" x14ac:dyDescent="0.3">
      <c r="B10" s="56"/>
      <c r="C10" s="56"/>
      <c r="D10" s="55"/>
      <c r="E10" s="56"/>
      <c r="F10" s="55"/>
      <c r="G10" s="56"/>
    </row>
    <row r="11" spans="2:7" ht="14.25" customHeight="1" x14ac:dyDescent="0.3">
      <c r="B11" s="56"/>
      <c r="C11" s="56"/>
      <c r="D11" s="55"/>
      <c r="E11" s="56"/>
      <c r="F11" s="55"/>
      <c r="G11" s="56"/>
    </row>
    <row r="12" spans="2:7" ht="14.25" customHeight="1" x14ac:dyDescent="0.3">
      <c r="B12" s="56"/>
      <c r="C12" s="56"/>
      <c r="D12" s="55"/>
      <c r="E12" s="56"/>
      <c r="F12" s="55"/>
      <c r="G12" s="56"/>
    </row>
    <row r="13" spans="2:7" ht="14.25" customHeight="1" x14ac:dyDescent="0.3">
      <c r="B13" s="56"/>
      <c r="C13" s="56"/>
      <c r="D13" s="55"/>
      <c r="E13" s="56"/>
      <c r="F13" s="55"/>
      <c r="G13" s="56"/>
    </row>
    <row r="14" spans="2:7" ht="14.25" customHeight="1" x14ac:dyDescent="0.3">
      <c r="B14" s="56"/>
      <c r="C14" s="56"/>
      <c r="D14" s="55"/>
      <c r="E14" s="56"/>
      <c r="F14" s="55"/>
      <c r="G14" s="56"/>
    </row>
    <row r="15" spans="2:7" ht="14.25" customHeight="1" x14ac:dyDescent="0.3">
      <c r="B15" s="56"/>
      <c r="C15" s="56"/>
      <c r="D15" s="55"/>
      <c r="E15" s="56"/>
      <c r="F15" s="55"/>
      <c r="G15" s="56"/>
    </row>
    <row r="16" spans="2:7" ht="14.25" customHeight="1" x14ac:dyDescent="0.3">
      <c r="B16" s="56"/>
      <c r="C16" s="56"/>
      <c r="D16" s="55"/>
      <c r="E16" s="56"/>
      <c r="F16" s="55"/>
      <c r="G16" s="56"/>
    </row>
    <row r="17" spans="2:7" ht="14.25" customHeight="1" x14ac:dyDescent="0.3">
      <c r="B17" s="56"/>
      <c r="C17" s="56"/>
      <c r="D17" s="55"/>
      <c r="E17" s="56"/>
      <c r="F17" s="55"/>
      <c r="G17" s="56"/>
    </row>
    <row r="18" spans="2:7" ht="14.25" customHeight="1" x14ac:dyDescent="0.3">
      <c r="B18" s="56"/>
      <c r="C18" s="56"/>
      <c r="D18" s="55"/>
      <c r="E18" s="56"/>
      <c r="F18" s="55"/>
      <c r="G18" s="56"/>
    </row>
    <row r="19" spans="2:7" ht="14.25" customHeight="1" x14ac:dyDescent="0.3">
      <c r="B19" s="56"/>
      <c r="C19" s="56"/>
      <c r="D19" s="55"/>
      <c r="E19" s="56"/>
      <c r="F19" s="55"/>
      <c r="G19" s="56"/>
    </row>
    <row r="20" spans="2:7" ht="14.25" customHeight="1" x14ac:dyDescent="0.3">
      <c r="B20" s="56"/>
      <c r="C20" s="56"/>
      <c r="D20" s="55"/>
      <c r="E20" s="56"/>
      <c r="F20" s="55"/>
      <c r="G20" s="56"/>
    </row>
    <row r="21" spans="2:7" ht="14.25" customHeight="1" x14ac:dyDescent="0.3">
      <c r="B21" s="56"/>
      <c r="C21" s="56"/>
      <c r="D21" s="55"/>
      <c r="E21" s="56"/>
      <c r="F21" s="55"/>
      <c r="G21" s="56"/>
    </row>
    <row r="22" spans="2:7" ht="14.25" customHeight="1" x14ac:dyDescent="0.3">
      <c r="B22" s="56"/>
      <c r="C22" s="56"/>
      <c r="D22" s="55"/>
      <c r="E22" s="56"/>
      <c r="F22" s="55"/>
      <c r="G22" s="56"/>
    </row>
    <row r="23" spans="2:7" ht="14.25" customHeight="1" x14ac:dyDescent="0.3">
      <c r="B23" s="56"/>
      <c r="C23" s="56"/>
      <c r="D23" s="55"/>
      <c r="E23" s="56"/>
      <c r="F23" s="55"/>
      <c r="G23" s="56"/>
    </row>
    <row r="24" spans="2:7" ht="14.25" customHeight="1" x14ac:dyDescent="0.3">
      <c r="B24" s="56"/>
      <c r="C24" s="56"/>
      <c r="D24" s="55"/>
      <c r="E24" s="56"/>
      <c r="F24" s="55"/>
      <c r="G24" s="56"/>
    </row>
    <row r="25" spans="2:7" ht="14.25" customHeight="1" x14ac:dyDescent="0.3">
      <c r="B25" s="56"/>
      <c r="C25" s="56"/>
      <c r="D25" s="55"/>
      <c r="E25" s="56"/>
      <c r="F25" s="55"/>
      <c r="G25" s="56"/>
    </row>
    <row r="26" spans="2:7" ht="14.25" customHeight="1" x14ac:dyDescent="0.3">
      <c r="B26" s="56"/>
      <c r="C26" s="56"/>
      <c r="D26" s="55"/>
      <c r="E26" s="56"/>
      <c r="F26" s="55"/>
      <c r="G26" s="56"/>
    </row>
    <row r="27" spans="2:7" ht="14.25" customHeight="1" x14ac:dyDescent="0.3">
      <c r="B27" s="56"/>
      <c r="C27" s="56"/>
      <c r="D27" s="55"/>
      <c r="E27" s="56"/>
      <c r="F27" s="55"/>
      <c r="G27" s="56"/>
    </row>
    <row r="28" spans="2:7" ht="14.25" customHeight="1" x14ac:dyDescent="0.3">
      <c r="B28" s="56"/>
      <c r="C28" s="56"/>
      <c r="D28" s="55"/>
      <c r="E28" s="56"/>
      <c r="F28" s="55"/>
      <c r="G28" s="56"/>
    </row>
    <row r="29" spans="2:7" ht="14.25" customHeight="1" x14ac:dyDescent="0.3">
      <c r="B29" s="56"/>
      <c r="C29" s="56"/>
      <c r="D29" s="55"/>
      <c r="E29" s="56"/>
      <c r="F29" s="55"/>
      <c r="G29" s="56"/>
    </row>
    <row r="30" spans="2:7" ht="14.25" customHeight="1" x14ac:dyDescent="0.3">
      <c r="B30" s="56"/>
      <c r="C30" s="56"/>
      <c r="D30" s="55"/>
      <c r="E30" s="56"/>
      <c r="F30" s="55"/>
      <c r="G30" s="56"/>
    </row>
    <row r="31" spans="2:7" ht="14.25" customHeight="1" x14ac:dyDescent="0.3">
      <c r="B31" s="56"/>
      <c r="C31" s="56"/>
      <c r="D31" s="55"/>
      <c r="E31" s="56"/>
      <c r="F31" s="55"/>
      <c r="G31" s="56"/>
    </row>
    <row r="32" spans="2:7" ht="14.25" customHeight="1" x14ac:dyDescent="0.3">
      <c r="B32" s="56"/>
      <c r="C32" s="56"/>
      <c r="D32" s="55"/>
      <c r="E32" s="56"/>
      <c r="F32" s="55"/>
      <c r="G32" s="56"/>
    </row>
    <row r="33" spans="2:7" ht="14.25" customHeight="1" x14ac:dyDescent="0.3">
      <c r="B33" s="56"/>
      <c r="C33" s="56"/>
      <c r="D33" s="55"/>
      <c r="E33" s="56"/>
      <c r="F33" s="55"/>
      <c r="G33" s="56"/>
    </row>
    <row r="34" spans="2:7" ht="14.25" customHeight="1" x14ac:dyDescent="0.3">
      <c r="B34" s="56"/>
      <c r="C34" s="56"/>
      <c r="D34" s="55"/>
      <c r="E34" s="56"/>
      <c r="F34" s="55"/>
      <c r="G34" s="56"/>
    </row>
    <row r="35" spans="2:7" ht="14.25" customHeight="1" x14ac:dyDescent="0.3">
      <c r="B35" s="56"/>
      <c r="C35" s="56"/>
      <c r="D35" s="55"/>
      <c r="E35" s="56"/>
      <c r="F35" s="55"/>
      <c r="G35" s="56"/>
    </row>
    <row r="36" spans="2:7" ht="14.25" customHeight="1" x14ac:dyDescent="0.3">
      <c r="B36" s="56"/>
      <c r="C36" s="56"/>
      <c r="D36" s="55"/>
      <c r="E36" s="56"/>
      <c r="F36" s="55"/>
      <c r="G36" s="56"/>
    </row>
    <row r="39" spans="2:7" ht="14.25" customHeight="1" x14ac:dyDescent="0.3">
      <c r="B39" s="44" t="s">
        <v>359</v>
      </c>
    </row>
    <row r="40" spans="2:7" ht="30" customHeight="1" x14ac:dyDescent="0.3">
      <c r="B40" s="16" t="s">
        <v>45</v>
      </c>
      <c r="C40" s="16" t="s">
        <v>360</v>
      </c>
      <c r="D40" s="16" t="s">
        <v>292</v>
      </c>
      <c r="E40" s="16" t="s">
        <v>293</v>
      </c>
      <c r="F40" s="16" t="s">
        <v>361</v>
      </c>
    </row>
    <row r="41" spans="2:7" ht="14.25" customHeight="1" x14ac:dyDescent="0.3">
      <c r="B41" s="17" t="s">
        <v>57</v>
      </c>
      <c r="C41" s="18">
        <f>COUNTIF($B$7:$B$36,B41)</f>
        <v>0</v>
      </c>
      <c r="D41" s="19">
        <f>SUMIF($B$7:$B$36,B41,$D$7:$D$36)</f>
        <v>0</v>
      </c>
      <c r="E41" s="19">
        <f>IFERROR(D41/C41,0)</f>
        <v>0</v>
      </c>
      <c r="F41" s="19">
        <f>IFERROR('FLEET SUMMARY'!E7/C41,0)</f>
        <v>0</v>
      </c>
    </row>
    <row r="42" spans="2:7" ht="14.25" customHeight="1" x14ac:dyDescent="0.3">
      <c r="B42" s="17" t="s">
        <v>59</v>
      </c>
      <c r="C42" s="18">
        <f>COUNTIF($B$7:$B$36,B42)</f>
        <v>0</v>
      </c>
      <c r="D42" s="19">
        <f>SUMIF($B$7:$B$36,B42,$D$7:$D$36)</f>
        <v>0</v>
      </c>
      <c r="E42" s="19">
        <f>IFERROR(D42/C42,0)</f>
        <v>0</v>
      </c>
      <c r="F42" s="19">
        <f>IFERROR('FLEET SUMMARY'!E8/C42,0)</f>
        <v>0</v>
      </c>
    </row>
    <row r="43" spans="2:7" ht="14.25" customHeight="1" x14ac:dyDescent="0.3">
      <c r="B43" s="17" t="s">
        <v>60</v>
      </c>
      <c r="C43" s="18">
        <f>COUNTIF($B$7:$B$36,B43)</f>
        <v>0</v>
      </c>
      <c r="D43" s="19">
        <f>SUMIF($B$7:$B$36,B43,$D$7:$D$36)</f>
        <v>0</v>
      </c>
      <c r="E43" s="19">
        <f>IFERROR(D43/C43,0)</f>
        <v>0</v>
      </c>
      <c r="F43" s="19">
        <f>IFERROR('FLEET SUMMARY'!E9/C43,0)</f>
        <v>0</v>
      </c>
    </row>
    <row r="44" spans="2:7" ht="14.25" customHeight="1" x14ac:dyDescent="0.3">
      <c r="B44" s="17" t="s">
        <v>61</v>
      </c>
      <c r="C44" s="18">
        <f>COUNTIF($B$7:$B$36,B44)</f>
        <v>0</v>
      </c>
      <c r="D44" s="19">
        <f>SUMIF($B$7:$B$36,B44,$D$7:$D$36)</f>
        <v>0</v>
      </c>
      <c r="E44" s="19">
        <f>IFERROR(D44/C44,0)</f>
        <v>0</v>
      </c>
      <c r="F44" s="19">
        <f>IFERROR('FLEET SUMMARY'!E10/C44,0)</f>
        <v>0</v>
      </c>
    </row>
    <row r="45" spans="2:7" ht="14.25" customHeight="1" x14ac:dyDescent="0.3">
      <c r="B45" s="17" t="s">
        <v>63</v>
      </c>
      <c r="C45" s="18">
        <f>COUNTIF($B$7:$B$36,B45)</f>
        <v>0</v>
      </c>
      <c r="D45" s="19">
        <f>SUMIF($B$7:$B$36,B45,$D$7:$D$36)</f>
        <v>0</v>
      </c>
      <c r="E45" s="19">
        <f>IFERROR(D45/C45,0)</f>
        <v>0</v>
      </c>
      <c r="F45" s="19">
        <f>IFERROR('FLEET SUMMARY'!E11/C45,0)</f>
        <v>0</v>
      </c>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F00-000000000000}">
          <x14:formula1>
            <xm:f>'DELAY CODE REGISTER'!$B$6:$B$49</xm:f>
          </x14:formula1>
          <x14:formula2>
            <xm:f>0</xm:f>
          </x14:formula2>
          <xm:sqref>E7:E36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P39"/>
  <sheetViews>
    <sheetView showGridLines="0" zoomScaleNormal="100" workbookViewId="0">
      <selection activeCell="M6" sqref="M6"/>
    </sheetView>
  </sheetViews>
  <sheetFormatPr defaultColWidth="8.6640625" defaultRowHeight="14.4" x14ac:dyDescent="0.3"/>
  <cols>
    <col min="2" max="2" width="3" customWidth="1"/>
    <col min="3" max="3" width="14" customWidth="1"/>
    <col min="4" max="4" width="20" customWidth="1"/>
    <col min="5" max="16" width="9" customWidth="1"/>
  </cols>
  <sheetData>
    <row r="2" spans="2:16" ht="18" customHeight="1" x14ac:dyDescent="0.35">
      <c r="B2" s="13" t="s">
        <v>362</v>
      </c>
    </row>
    <row r="3" spans="2:16" ht="14.25" customHeight="1" x14ac:dyDescent="0.3">
      <c r="B3" s="14" t="s">
        <v>193</v>
      </c>
    </row>
    <row r="4" spans="2:16" ht="14.25" customHeight="1" x14ac:dyDescent="0.3">
      <c r="B4" s="14"/>
    </row>
    <row r="5" spans="2:16" ht="25.5" customHeight="1" x14ac:dyDescent="0.3">
      <c r="C5" s="16" t="s">
        <v>363</v>
      </c>
      <c r="D5" s="16" t="s">
        <v>364</v>
      </c>
      <c r="E5" s="16" t="s">
        <v>365</v>
      </c>
      <c r="F5" s="16" t="s">
        <v>366</v>
      </c>
      <c r="G5" s="16" t="s">
        <v>367</v>
      </c>
      <c r="H5" s="16" t="s">
        <v>368</v>
      </c>
      <c r="I5" s="16" t="s">
        <v>369</v>
      </c>
      <c r="J5" s="16" t="s">
        <v>370</v>
      </c>
      <c r="K5" s="16" t="s">
        <v>371</v>
      </c>
      <c r="L5" s="16" t="s">
        <v>372</v>
      </c>
      <c r="M5" s="16" t="s">
        <v>373</v>
      </c>
      <c r="N5" s="16" t="s">
        <v>374</v>
      </c>
      <c r="O5" s="16" t="s">
        <v>375</v>
      </c>
      <c r="P5" s="16" t="s">
        <v>376</v>
      </c>
    </row>
    <row r="6" spans="2:16" ht="14.25" customHeight="1" x14ac:dyDescent="0.3">
      <c r="C6" s="17" t="s">
        <v>57</v>
      </c>
      <c r="D6" s="18" t="s">
        <v>47</v>
      </c>
      <c r="E6" s="81" t="str">
        <f>IFERROR(IF(MONTH('CRT220'!$B$7)=1,'CRT220'!$J$38,""),"")</f>
        <v/>
      </c>
      <c r="F6" s="81" t="str">
        <f>IFERROR(IF(MONTH('CRT220'!$B$7)=2,'CRT220'!$J$38,""),"")</f>
        <v/>
      </c>
      <c r="G6" s="81" t="str">
        <f>IFERROR(IF(MONTH('CRT220'!$B$7)=3,'CRT220'!$J$38,""),"")</f>
        <v/>
      </c>
      <c r="H6" s="81" t="str">
        <f>IFERROR(IF(MONTH('CRT220'!$B$7)=4,'CRT220'!$J$38,""),"")</f>
        <v/>
      </c>
      <c r="I6" s="81" t="str">
        <f>IFERROR(IF(MONTH('CRT220'!$B$7)=5,'CRT220'!$J$38,""),"")</f>
        <v/>
      </c>
      <c r="J6" s="81" t="str">
        <f>IFERROR(IF(MONTH('CRT220'!$B$7)=6,'CRT220'!$J$38,""),"")</f>
        <v/>
      </c>
      <c r="K6" s="81" t="str">
        <f>IFERROR(IF(MONTH('CRT220'!$B$7)=7,'CRT220'!$J$38,""),"")</f>
        <v/>
      </c>
      <c r="L6" s="81" t="str">
        <f>IFERROR(IF(MONTH('CRT220'!$B$7)=8,'CRT220'!$J$38,""),"")</f>
        <v/>
      </c>
      <c r="M6" s="81">
        <f>IFERROR(IF(MONTH('CRT220'!$B$7)=9,'CRT220'!$J$38,""),"")</f>
        <v>558</v>
      </c>
      <c r="N6" s="81" t="str">
        <f>IFERROR(IF(MONTH('CRT220'!$B$7)=10,'CRT220'!$J$38,""),"")</f>
        <v/>
      </c>
      <c r="O6" s="81" t="str">
        <f>IFERROR(IF(MONTH('CRT220'!$B$7)=11,'CRT220'!$J$38,""),"")</f>
        <v/>
      </c>
      <c r="P6" s="81" t="str">
        <f>IFERROR(IF(MONTH('CRT220'!$B$7)=12,'CRT220'!$J$38,""),"")</f>
        <v/>
      </c>
    </row>
    <row r="7" spans="2:16" ht="14.25" customHeight="1" x14ac:dyDescent="0.3">
      <c r="C7" s="82"/>
      <c r="D7" s="18" t="s">
        <v>377</v>
      </c>
      <c r="E7" s="81" t="str">
        <f>IFERROR(IF(MONTH('CRT220'!$B$7)=1,'CRT220'!$F$38,""),"")</f>
        <v/>
      </c>
      <c r="F7" s="81" t="str">
        <f>IFERROR(IF(MONTH('CRT220'!$B$7)=2,'CRT220'!$F$38,""),"")</f>
        <v/>
      </c>
      <c r="G7" s="81" t="str">
        <f>IFERROR(IF(MONTH('CRT220'!$B$7)=3,'CRT220'!$F$38,""),"")</f>
        <v/>
      </c>
      <c r="H7" s="81" t="str">
        <f>IFERROR(IF(MONTH('CRT220'!$B$7)=4,'CRT220'!$F$38,""),"")</f>
        <v/>
      </c>
      <c r="I7" s="81" t="str">
        <f>IFERROR(IF(MONTH('CRT220'!$B$7)=5,'CRT220'!$F$38,""),"")</f>
        <v/>
      </c>
      <c r="J7" s="81" t="str">
        <f>IFERROR(IF(MONTH('CRT220'!$B$7)=6,'CRT220'!$F$38,""),"")</f>
        <v/>
      </c>
      <c r="K7" s="81" t="str">
        <f>IFERROR(IF(MONTH('CRT220'!$B$7)=7,'CRT220'!$F$38,""),"")</f>
        <v/>
      </c>
      <c r="L7" s="81" t="str">
        <f>IFERROR(IF(MONTH('CRT220'!$B$7)=8,'CRT220'!$F$38,""),"")</f>
        <v/>
      </c>
      <c r="M7" s="81">
        <f>IFERROR(IF(MONTH('CRT220'!$B$7)=9,'CRT220'!$F$38,""),"")</f>
        <v>0</v>
      </c>
      <c r="N7" s="81" t="str">
        <f>IFERROR(IF(MONTH('CRT220'!$B$7)=10,'CRT220'!$F$38,""),"")</f>
        <v/>
      </c>
      <c r="O7" s="81" t="str">
        <f>IFERROR(IF(MONTH('CRT220'!$B$7)=11,'CRT220'!$F$38,""),"")</f>
        <v/>
      </c>
      <c r="P7" s="81" t="str">
        <f>IFERROR(IF(MONTH('CRT220'!$B$7)=12,'CRT220'!$F$38,""),"")</f>
        <v/>
      </c>
    </row>
    <row r="8" spans="2:16" ht="14.25" customHeight="1" x14ac:dyDescent="0.3">
      <c r="C8" s="82"/>
      <c r="D8" s="18" t="s">
        <v>378</v>
      </c>
      <c r="E8" s="83" t="str">
        <f>IFERROR(IF(MONTH('CRT220'!$B$7)=1,'CRT220'!$M$38,""),"")</f>
        <v/>
      </c>
      <c r="F8" s="83" t="str">
        <f>IFERROR(IF(MONTH('CRT220'!$B$7)=2,'CRT220'!$M$38,""),"")</f>
        <v/>
      </c>
      <c r="G8" s="83" t="str">
        <f>IFERROR(IF(MONTH('CRT220'!$B$7)=3,'CRT220'!$M$38,""),"")</f>
        <v/>
      </c>
      <c r="H8" s="83" t="str">
        <f>IFERROR(IF(MONTH('CRT220'!$B$7)=4,'CRT220'!$M$38,""),"")</f>
        <v/>
      </c>
      <c r="I8" s="83" t="str">
        <f>IFERROR(IF(MONTH('CRT220'!$B$7)=5,'CRT220'!$M$38,""),"")</f>
        <v/>
      </c>
      <c r="J8" s="83" t="str">
        <f>IFERROR(IF(MONTH('CRT220'!$B$7)=6,'CRT220'!$M$38,""),"")</f>
        <v/>
      </c>
      <c r="K8" s="83" t="str">
        <f>IFERROR(IF(MONTH('CRT220'!$B$7)=7,'CRT220'!$M$38,""),"")</f>
        <v/>
      </c>
      <c r="L8" s="83" t="str">
        <f>IFERROR(IF(MONTH('CRT220'!$B$7)=8,'CRT220'!$M$38,""),"")</f>
        <v/>
      </c>
      <c r="M8" s="83">
        <f>IFERROR(IF(MONTH('CRT220'!$B$7)=9,'CRT220'!$M$38,""),"")</f>
        <v>0</v>
      </c>
      <c r="N8" s="83" t="str">
        <f>IFERROR(IF(MONTH('CRT220'!$B$7)=10,'CRT220'!$M$38,""),"")</f>
        <v/>
      </c>
      <c r="O8" s="83" t="str">
        <f>IFERROR(IF(MONTH('CRT220'!$B$7)=11,'CRT220'!$M$38,""),"")</f>
        <v/>
      </c>
      <c r="P8" s="83" t="str">
        <f>IFERROR(IF(MONTH('CRT220'!$B$7)=12,'CRT220'!$M$38,""),"")</f>
        <v/>
      </c>
    </row>
    <row r="9" spans="2:16" ht="14.25" customHeight="1" x14ac:dyDescent="0.3">
      <c r="C9" s="82"/>
      <c r="D9" s="18" t="s">
        <v>379</v>
      </c>
      <c r="E9" s="83" t="str">
        <f>IFERROR(IF(MONTH('CRT220'!$B$7)=1,'CRT220'!$O$38,""),"")</f>
        <v/>
      </c>
      <c r="F9" s="83" t="str">
        <f>IFERROR(IF(MONTH('CRT220'!$B$7)=2,'CRT220'!$O$38,""),"")</f>
        <v/>
      </c>
      <c r="G9" s="83" t="str">
        <f>IFERROR(IF(MONTH('CRT220'!$B$7)=3,'CRT220'!$O$38,""),"")</f>
        <v/>
      </c>
      <c r="H9" s="83" t="str">
        <f>IFERROR(IF(MONTH('CRT220'!$B$7)=4,'CRT220'!$O$38,""),"")</f>
        <v/>
      </c>
      <c r="I9" s="83" t="str">
        <f>IFERROR(IF(MONTH('CRT220'!$B$7)=5,'CRT220'!$O$38,""),"")</f>
        <v/>
      </c>
      <c r="J9" s="83" t="str">
        <f>IFERROR(IF(MONTH('CRT220'!$B$7)=6,'CRT220'!$O$38,""),"")</f>
        <v/>
      </c>
      <c r="K9" s="83" t="str">
        <f>IFERROR(IF(MONTH('CRT220'!$B$7)=7,'CRT220'!$O$38,""),"")</f>
        <v/>
      </c>
      <c r="L9" s="83" t="str">
        <f>IFERROR(IF(MONTH('CRT220'!$B$7)=8,'CRT220'!$O$38,""),"")</f>
        <v/>
      </c>
      <c r="M9" s="83">
        <f>IFERROR(IF(MONTH('CRT220'!$B$7)=9,'CRT220'!$O$38,""),"")</f>
        <v>0</v>
      </c>
      <c r="N9" s="83" t="str">
        <f>IFERROR(IF(MONTH('CRT220'!$B$7)=10,'CRT220'!$O$38,""),"")</f>
        <v/>
      </c>
      <c r="O9" s="83" t="str">
        <f>IFERROR(IF(MONTH('CRT220'!$B$7)=11,'CRT220'!$O$38,""),"")</f>
        <v/>
      </c>
      <c r="P9" s="83" t="str">
        <f>IFERROR(IF(MONTH('CRT220'!$B$7)=12,'CRT220'!$O$38,""),"")</f>
        <v/>
      </c>
    </row>
    <row r="10" spans="2:16" ht="14.25" customHeight="1" x14ac:dyDescent="0.3">
      <c r="C10" s="82"/>
      <c r="D10" s="18" t="s">
        <v>54</v>
      </c>
      <c r="E10" s="81" t="str">
        <f>IFERROR(IF(MONTH('CRT220'!$B$7)=1,'CRT220'!$H$38,""),"")</f>
        <v/>
      </c>
      <c r="F10" s="81" t="str">
        <f>IFERROR(IF(MONTH('CRT220'!$B$7)=2,'CRT220'!$H$38,""),"")</f>
        <v/>
      </c>
      <c r="G10" s="81" t="str">
        <f>IFERROR(IF(MONTH('CRT220'!$B$7)=3,'CRT220'!$H$38,""),"")</f>
        <v/>
      </c>
      <c r="H10" s="81" t="str">
        <f>IFERROR(IF(MONTH('CRT220'!$B$7)=4,'CRT220'!$H$38,""),"")</f>
        <v/>
      </c>
      <c r="I10" s="81" t="str">
        <f>IFERROR(IF(MONTH('CRT220'!$B$7)=5,'CRT220'!$H$38,""),"")</f>
        <v/>
      </c>
      <c r="J10" s="81" t="str">
        <f>IFERROR(IF(MONTH('CRT220'!$B$7)=6,'CRT220'!$H$38,""),"")</f>
        <v/>
      </c>
      <c r="K10" s="81" t="str">
        <f>IFERROR(IF(MONTH('CRT220'!$B$7)=7,'CRT220'!$H$38,""),"")</f>
        <v/>
      </c>
      <c r="L10" s="81" t="str">
        <f>IFERROR(IF(MONTH('CRT220'!$B$7)=8,'CRT220'!$H$38,""),"")</f>
        <v/>
      </c>
      <c r="M10" s="81">
        <f>IFERROR(IF(MONTH('CRT220'!$B$7)=9,'CRT220'!$H$38,""),"")</f>
        <v>0</v>
      </c>
      <c r="N10" s="81" t="str">
        <f>IFERROR(IF(MONTH('CRT220'!$B$7)=10,'CRT220'!$H$38,""),"")</f>
        <v/>
      </c>
      <c r="O10" s="81" t="str">
        <f>IFERROR(IF(MONTH('CRT220'!$B$7)=11,'CRT220'!$H$38,""),"")</f>
        <v/>
      </c>
      <c r="P10" s="81" t="str">
        <f>IFERROR(IF(MONTH('CRT220'!$B$7)=12,'CRT220'!$H$38,""),"")</f>
        <v/>
      </c>
    </row>
    <row r="11" spans="2:16" ht="14.25" customHeight="1" x14ac:dyDescent="0.3">
      <c r="C11" s="82"/>
      <c r="D11" s="18" t="s">
        <v>55</v>
      </c>
      <c r="E11" s="81" t="str">
        <f>IFERROR(IF(MONTH('CRT220'!$B$7)=1,'CRT220'!$I$38,""),"")</f>
        <v/>
      </c>
      <c r="F11" s="81" t="str">
        <f>IFERROR(IF(MONTH('CRT220'!$B$7)=2,'CRT220'!$I$38,""),"")</f>
        <v/>
      </c>
      <c r="G11" s="81" t="str">
        <f>IFERROR(IF(MONTH('CRT220'!$B$7)=3,'CRT220'!$I$38,""),"")</f>
        <v/>
      </c>
      <c r="H11" s="81" t="str">
        <f>IFERROR(IF(MONTH('CRT220'!$B$7)=4,'CRT220'!$I$38,""),"")</f>
        <v/>
      </c>
      <c r="I11" s="81" t="str">
        <f>IFERROR(IF(MONTH('CRT220'!$B$7)=5,'CRT220'!$I$38,""),"")</f>
        <v/>
      </c>
      <c r="J11" s="81" t="str">
        <f>IFERROR(IF(MONTH('CRT220'!$B$7)=6,'CRT220'!$I$38,""),"")</f>
        <v/>
      </c>
      <c r="K11" s="81" t="str">
        <f>IFERROR(IF(MONTH('CRT220'!$B$7)=7,'CRT220'!$I$38,""),"")</f>
        <v/>
      </c>
      <c r="L11" s="81" t="str">
        <f>IFERROR(IF(MONTH('CRT220'!$B$7)=8,'CRT220'!$I$38,""),"")</f>
        <v/>
      </c>
      <c r="M11" s="81">
        <f>IFERROR(IF(MONTH('CRT220'!$B$7)=9,'CRT220'!$I$38,""),"")</f>
        <v>270</v>
      </c>
      <c r="N11" s="81" t="str">
        <f>IFERROR(IF(MONTH('CRT220'!$B$7)=10,'CRT220'!$I$38,""),"")</f>
        <v/>
      </c>
      <c r="O11" s="81" t="str">
        <f>IFERROR(IF(MONTH('CRT220'!$B$7)=11,'CRT220'!$I$38,""),"")</f>
        <v/>
      </c>
      <c r="P11" s="81" t="str">
        <f>IFERROR(IF(MONTH('CRT220'!$B$7)=12,'CRT220'!$I$38,""),"")</f>
        <v/>
      </c>
    </row>
    <row r="13" spans="2:16" ht="14.25" customHeight="1" x14ac:dyDescent="0.3">
      <c r="C13" s="17" t="s">
        <v>59</v>
      </c>
      <c r="D13" s="18" t="s">
        <v>47</v>
      </c>
      <c r="E13" s="81" t="str">
        <f>IFERROR(IF(MONTH('CRT221'!$B$7)=1,'CRT221'!$J$38,""),"")</f>
        <v/>
      </c>
      <c r="F13" s="81" t="str">
        <f>IFERROR(IF(MONTH('CRT221'!$B$7)=2,'CRT221'!$J$38,""),"")</f>
        <v/>
      </c>
      <c r="G13" s="81" t="str">
        <f>IFERROR(IF(MONTH('CRT221'!$B$7)=3,'CRT221'!$J$38,""),"")</f>
        <v/>
      </c>
      <c r="H13" s="81" t="str">
        <f>IFERROR(IF(MONTH('CRT221'!$B$7)=4,'CRT221'!$J$38,""),"")</f>
        <v/>
      </c>
      <c r="I13" s="81" t="str">
        <f>IFERROR(IF(MONTH('CRT221'!$B$7)=5,'CRT221'!$J$38,""),"")</f>
        <v/>
      </c>
      <c r="J13" s="81" t="str">
        <f>IFERROR(IF(MONTH('CRT221'!$B$7)=6,'CRT221'!$J$38,""),"")</f>
        <v/>
      </c>
      <c r="K13" s="81" t="str">
        <f>IFERROR(IF(MONTH('CRT221'!$B$7)=7,'CRT221'!$J$38,""),"")</f>
        <v/>
      </c>
      <c r="L13" s="81" t="str">
        <f>IFERROR(IF(MONTH('CRT221'!$B$7)=8,'CRT221'!$J$38,""),"")</f>
        <v/>
      </c>
      <c r="M13" s="81">
        <f>IFERROR(IF(MONTH('CRT221'!$B$7)=9,'CRT221'!$J$38,""),"")</f>
        <v>558</v>
      </c>
      <c r="N13" s="81" t="str">
        <f>IFERROR(IF(MONTH('CRT221'!$B$7)=10,'CRT221'!$J$38,""),"")</f>
        <v/>
      </c>
      <c r="O13" s="81" t="str">
        <f>IFERROR(IF(MONTH('CRT221'!$B$7)=11,'CRT221'!$J$38,""),"")</f>
        <v/>
      </c>
      <c r="P13" s="81" t="str">
        <f>IFERROR(IF(MONTH('CRT221'!$B$7)=12,'CRT221'!$J$38,""),"")</f>
        <v/>
      </c>
    </row>
    <row r="14" spans="2:16" ht="14.25" customHeight="1" x14ac:dyDescent="0.3">
      <c r="C14" s="82"/>
      <c r="D14" s="18" t="s">
        <v>377</v>
      </c>
      <c r="E14" s="81" t="str">
        <f>IFERROR(IF(MONTH('CRT221'!$B$7)=1,'CRT221'!$F$38,""),"")</f>
        <v/>
      </c>
      <c r="F14" s="81" t="str">
        <f>IFERROR(IF(MONTH('CRT221'!$B$7)=2,'CRT221'!$F$38,""),"")</f>
        <v/>
      </c>
      <c r="G14" s="81" t="str">
        <f>IFERROR(IF(MONTH('CRT221'!$B$7)=3,'CRT221'!$F$38,""),"")</f>
        <v/>
      </c>
      <c r="H14" s="81" t="str">
        <f>IFERROR(IF(MONTH('CRT221'!$B$7)=4,'CRT221'!$F$38,""),"")</f>
        <v/>
      </c>
      <c r="I14" s="81" t="str">
        <f>IFERROR(IF(MONTH('CRT221'!$B$7)=5,'CRT221'!$F$38,""),"")</f>
        <v/>
      </c>
      <c r="J14" s="81" t="str">
        <f>IFERROR(IF(MONTH('CRT221'!$B$7)=6,'CRT221'!$F$38,""),"")</f>
        <v/>
      </c>
      <c r="K14" s="81" t="str">
        <f>IFERROR(IF(MONTH('CRT221'!$B$7)=7,'CRT221'!$F$38,""),"")</f>
        <v/>
      </c>
      <c r="L14" s="81" t="str">
        <f>IFERROR(IF(MONTH('CRT221'!$B$7)=8,'CRT221'!$F$38,""),"")</f>
        <v/>
      </c>
      <c r="M14" s="81">
        <f>IFERROR(IF(MONTH('CRT221'!$B$7)=9,'CRT221'!$F$38,""),"")</f>
        <v>164</v>
      </c>
      <c r="N14" s="81" t="str">
        <f>IFERROR(IF(MONTH('CRT221'!$B$7)=10,'CRT221'!$F$38,""),"")</f>
        <v/>
      </c>
      <c r="O14" s="81" t="str">
        <f>IFERROR(IF(MONTH('CRT221'!$B$7)=11,'CRT221'!$F$38,""),"")</f>
        <v/>
      </c>
      <c r="P14" s="81" t="str">
        <f>IFERROR(IF(MONTH('CRT221'!$B$7)=12,'CRT221'!$F$38,""),"")</f>
        <v/>
      </c>
    </row>
    <row r="15" spans="2:16" ht="14.25" customHeight="1" x14ac:dyDescent="0.3">
      <c r="C15" s="82"/>
      <c r="D15" s="18" t="s">
        <v>378</v>
      </c>
      <c r="E15" s="83" t="str">
        <f>IFERROR(IF(MONTH('CRT221'!$B$7)=1,'CRT221'!$M$38,""),"")</f>
        <v/>
      </c>
      <c r="F15" s="83" t="str">
        <f>IFERROR(IF(MONTH('CRT221'!$B$7)=2,'CRT221'!$M$38,""),"")</f>
        <v/>
      </c>
      <c r="G15" s="83" t="str">
        <f>IFERROR(IF(MONTH('CRT221'!$B$7)=3,'CRT221'!$M$38,""),"")</f>
        <v/>
      </c>
      <c r="H15" s="83" t="str">
        <f>IFERROR(IF(MONTH('CRT221'!$B$7)=4,'CRT221'!$M$38,""),"")</f>
        <v/>
      </c>
      <c r="I15" s="83" t="str">
        <f>IFERROR(IF(MONTH('CRT221'!$B$7)=5,'CRT221'!$M$38,""),"")</f>
        <v/>
      </c>
      <c r="J15" s="83" t="str">
        <f>IFERROR(IF(MONTH('CRT221'!$B$7)=6,'CRT221'!$M$38,""),"")</f>
        <v/>
      </c>
      <c r="K15" s="83" t="str">
        <f>IFERROR(IF(MONTH('CRT221'!$B$7)=7,'CRT221'!$M$38,""),"")</f>
        <v/>
      </c>
      <c r="L15" s="83" t="str">
        <f>IFERROR(IF(MONTH('CRT221'!$B$7)=8,'CRT221'!$M$38,""),"")</f>
        <v/>
      </c>
      <c r="M15" s="83">
        <f>IFERROR(IF(MONTH('CRT221'!$B$7)=9,'CRT221'!$M$38,""),"")</f>
        <v>0.29390681003584229</v>
      </c>
      <c r="N15" s="83" t="str">
        <f>IFERROR(IF(MONTH('CRT221'!$B$7)=10,'CRT221'!$M$38,""),"")</f>
        <v/>
      </c>
      <c r="O15" s="83" t="str">
        <f>IFERROR(IF(MONTH('CRT221'!$B$7)=11,'CRT221'!$M$38,""),"")</f>
        <v/>
      </c>
      <c r="P15" s="83" t="str">
        <f>IFERROR(IF(MONTH('CRT221'!$B$7)=12,'CRT221'!$M$38,""),"")</f>
        <v/>
      </c>
    </row>
    <row r="16" spans="2:16" ht="14.25" customHeight="1" x14ac:dyDescent="0.3">
      <c r="C16" s="82"/>
      <c r="D16" s="18" t="s">
        <v>379</v>
      </c>
      <c r="E16" s="83" t="str">
        <f>IFERROR(IF(MONTH('CRT221'!$B$7)=1,'CRT221'!$O$38,""),"")</f>
        <v/>
      </c>
      <c r="F16" s="83" t="str">
        <f>IFERROR(IF(MONTH('CRT221'!$B$7)=2,'CRT221'!$O$38,""),"")</f>
        <v/>
      </c>
      <c r="G16" s="83" t="str">
        <f>IFERROR(IF(MONTH('CRT221'!$B$7)=3,'CRT221'!$O$38,""),"")</f>
        <v/>
      </c>
      <c r="H16" s="83" t="str">
        <f>IFERROR(IF(MONTH('CRT221'!$B$7)=4,'CRT221'!$O$38,""),"")</f>
        <v/>
      </c>
      <c r="I16" s="83" t="str">
        <f>IFERROR(IF(MONTH('CRT221'!$B$7)=5,'CRT221'!$O$38,""),"")</f>
        <v/>
      </c>
      <c r="J16" s="83" t="str">
        <f>IFERROR(IF(MONTH('CRT221'!$B$7)=6,'CRT221'!$O$38,""),"")</f>
        <v/>
      </c>
      <c r="K16" s="83" t="str">
        <f>IFERROR(IF(MONTH('CRT221'!$B$7)=7,'CRT221'!$O$38,""),"")</f>
        <v/>
      </c>
      <c r="L16" s="83" t="str">
        <f>IFERROR(IF(MONTH('CRT221'!$B$7)=8,'CRT221'!$O$38,""),"")</f>
        <v/>
      </c>
      <c r="M16" s="83">
        <f>IFERROR(IF(MONTH('CRT221'!$B$7)=9,'CRT221'!$O$38,""),"")</f>
        <v>0.71481481481481479</v>
      </c>
      <c r="N16" s="83" t="str">
        <f>IFERROR(IF(MONTH('CRT221'!$B$7)=10,'CRT221'!$O$38,""),"")</f>
        <v/>
      </c>
      <c r="O16" s="83" t="str">
        <f>IFERROR(IF(MONTH('CRT221'!$B$7)=11,'CRT221'!$O$38,""),"")</f>
        <v/>
      </c>
      <c r="P16" s="83" t="str">
        <f>IFERROR(IF(MONTH('CRT221'!$B$7)=12,'CRT221'!$O$38,""),"")</f>
        <v/>
      </c>
    </row>
    <row r="17" spans="3:16" ht="14.25" customHeight="1" x14ac:dyDescent="0.3">
      <c r="C17" s="82"/>
      <c r="D17" s="18" t="s">
        <v>54</v>
      </c>
      <c r="E17" s="81" t="str">
        <f>IFERROR(IF(MONTH('CRT221'!$B$7)=1,'CRT221'!$H$38,""),"")</f>
        <v/>
      </c>
      <c r="F17" s="81" t="str">
        <f>IFERROR(IF(MONTH('CRT221'!$B$7)=2,'CRT221'!$H$38,""),"")</f>
        <v/>
      </c>
      <c r="G17" s="81" t="str">
        <f>IFERROR(IF(MONTH('CRT221'!$B$7)=3,'CRT221'!$H$38,""),"")</f>
        <v/>
      </c>
      <c r="H17" s="81" t="str">
        <f>IFERROR(IF(MONTH('CRT221'!$B$7)=4,'CRT221'!$H$38,""),"")</f>
        <v/>
      </c>
      <c r="I17" s="81" t="str">
        <f>IFERROR(IF(MONTH('CRT221'!$B$7)=5,'CRT221'!$H$38,""),"")</f>
        <v/>
      </c>
      <c r="J17" s="81" t="str">
        <f>IFERROR(IF(MONTH('CRT221'!$B$7)=6,'CRT221'!$H$38,""),"")</f>
        <v/>
      </c>
      <c r="K17" s="81" t="str">
        <f>IFERROR(IF(MONTH('CRT221'!$B$7)=7,'CRT221'!$H$38,""),"")</f>
        <v/>
      </c>
      <c r="L17" s="81" t="str">
        <f>IFERROR(IF(MONTH('CRT221'!$B$7)=8,'CRT221'!$H$38,""),"")</f>
        <v/>
      </c>
      <c r="M17" s="81">
        <f>IFERROR(IF(MONTH('CRT221'!$B$7)=9,'CRT221'!$H$38,""),"")</f>
        <v>29</v>
      </c>
      <c r="N17" s="81" t="str">
        <f>IFERROR(IF(MONTH('CRT221'!$B$7)=10,'CRT221'!$H$38,""),"")</f>
        <v/>
      </c>
      <c r="O17" s="81" t="str">
        <f>IFERROR(IF(MONTH('CRT221'!$B$7)=11,'CRT221'!$H$38,""),"")</f>
        <v/>
      </c>
      <c r="P17" s="81" t="str">
        <f>IFERROR(IF(MONTH('CRT221'!$B$7)=12,'CRT221'!$H$38,""),"")</f>
        <v/>
      </c>
    </row>
    <row r="18" spans="3:16" ht="14.25" customHeight="1" x14ac:dyDescent="0.3">
      <c r="C18" s="82"/>
      <c r="D18" s="18" t="s">
        <v>55</v>
      </c>
      <c r="E18" s="81" t="str">
        <f>IFERROR(IF(MONTH('CRT221'!$B$7)=1,'CRT221'!$I$38,""),"")</f>
        <v/>
      </c>
      <c r="F18" s="81" t="str">
        <f>IFERROR(IF(MONTH('CRT221'!$B$7)=2,'CRT221'!$I$38,""),"")</f>
        <v/>
      </c>
      <c r="G18" s="81" t="str">
        <f>IFERROR(IF(MONTH('CRT221'!$B$7)=3,'CRT221'!$I$38,""),"")</f>
        <v/>
      </c>
      <c r="H18" s="81" t="str">
        <f>IFERROR(IF(MONTH('CRT221'!$B$7)=4,'CRT221'!$I$38,""),"")</f>
        <v/>
      </c>
      <c r="I18" s="81" t="str">
        <f>IFERROR(IF(MONTH('CRT221'!$B$7)=5,'CRT221'!$I$38,""),"")</f>
        <v/>
      </c>
      <c r="J18" s="81" t="str">
        <f>IFERROR(IF(MONTH('CRT221'!$B$7)=6,'CRT221'!$I$38,""),"")</f>
        <v/>
      </c>
      <c r="K18" s="81" t="str">
        <f>IFERROR(IF(MONTH('CRT221'!$B$7)=7,'CRT221'!$I$38,""),"")</f>
        <v/>
      </c>
      <c r="L18" s="81" t="str">
        <f>IFERROR(IF(MONTH('CRT221'!$B$7)=8,'CRT221'!$I$38,""),"")</f>
        <v/>
      </c>
      <c r="M18" s="81">
        <f>IFERROR(IF(MONTH('CRT221'!$B$7)=9,'CRT221'!$I$38,""),"")</f>
        <v>77</v>
      </c>
      <c r="N18" s="81" t="str">
        <f>IFERROR(IF(MONTH('CRT221'!$B$7)=10,'CRT221'!$I$38,""),"")</f>
        <v/>
      </c>
      <c r="O18" s="81" t="str">
        <f>IFERROR(IF(MONTH('CRT221'!$B$7)=11,'CRT221'!$I$38,""),"")</f>
        <v/>
      </c>
      <c r="P18" s="81" t="str">
        <f>IFERROR(IF(MONTH('CRT221'!$B$7)=12,'CRT221'!$I$38,""),"")</f>
        <v/>
      </c>
    </row>
    <row r="20" spans="3:16" ht="14.25" customHeight="1" x14ac:dyDescent="0.3">
      <c r="C20" s="17" t="s">
        <v>60</v>
      </c>
      <c r="D20" s="18" t="s">
        <v>47</v>
      </c>
      <c r="E20" s="81" t="str">
        <f>IFERROR(IF(MONTH('CRT222'!$B$7)=1,'CRT222'!$J$38,""),"")</f>
        <v/>
      </c>
      <c r="F20" s="81" t="str">
        <f>IFERROR(IF(MONTH('CRT222'!$B$7)=2,'CRT222'!$J$38,""),"")</f>
        <v/>
      </c>
      <c r="G20" s="81" t="str">
        <f>IFERROR(IF(MONTH('CRT222'!$B$7)=3,'CRT222'!$J$38,""),"")</f>
        <v/>
      </c>
      <c r="H20" s="81" t="str">
        <f>IFERROR(IF(MONTH('CRT222'!$B$7)=4,'CRT222'!$J$38,""),"")</f>
        <v/>
      </c>
      <c r="I20" s="81" t="str">
        <f>IFERROR(IF(MONTH('CRT222'!$B$7)=5,'CRT222'!$J$38,""),"")</f>
        <v/>
      </c>
      <c r="J20" s="81" t="str">
        <f>IFERROR(IF(MONTH('CRT222'!$B$7)=6,'CRT222'!$J$38,""),"")</f>
        <v/>
      </c>
      <c r="K20" s="81" t="str">
        <f>IFERROR(IF(MONTH('CRT222'!$B$7)=7,'CRT222'!$J$38,""),"")</f>
        <v/>
      </c>
      <c r="L20" s="81" t="str">
        <f>IFERROR(IF(MONTH('CRT222'!$B$7)=8,'CRT222'!$J$38,""),"")</f>
        <v/>
      </c>
      <c r="M20" s="81">
        <f>IFERROR(IF(MONTH('CRT222'!$B$7)=9,'CRT222'!$J$38,""),"")</f>
        <v>558</v>
      </c>
      <c r="N20" s="81" t="str">
        <f>IFERROR(IF(MONTH('CRT222'!$B$7)=10,'CRT222'!$J$38,""),"")</f>
        <v/>
      </c>
      <c r="O20" s="81" t="str">
        <f>IFERROR(IF(MONTH('CRT222'!$B$7)=11,'CRT222'!$J$38,""),"")</f>
        <v/>
      </c>
      <c r="P20" s="81" t="str">
        <f>IFERROR(IF(MONTH('CRT222'!$B$7)=12,'CRT222'!$J$38,""),"")</f>
        <v/>
      </c>
    </row>
    <row r="21" spans="3:16" ht="14.25" customHeight="1" x14ac:dyDescent="0.3">
      <c r="C21" s="82"/>
      <c r="D21" s="18" t="s">
        <v>377</v>
      </c>
      <c r="E21" s="81" t="str">
        <f>IFERROR(IF(MONTH('CRT222'!$B$7)=1,'CRT222'!$F$38,""),"")</f>
        <v/>
      </c>
      <c r="F21" s="81" t="str">
        <f>IFERROR(IF(MONTH('CRT222'!$B$7)=2,'CRT222'!$F$38,""),"")</f>
        <v/>
      </c>
      <c r="G21" s="81" t="str">
        <f>IFERROR(IF(MONTH('CRT222'!$B$7)=3,'CRT222'!$F$38,""),"")</f>
        <v/>
      </c>
      <c r="H21" s="81" t="str">
        <f>IFERROR(IF(MONTH('CRT222'!$B$7)=4,'CRT222'!$F$38,""),"")</f>
        <v/>
      </c>
      <c r="I21" s="81" t="str">
        <f>IFERROR(IF(MONTH('CRT222'!$B$7)=5,'CRT222'!$F$38,""),"")</f>
        <v/>
      </c>
      <c r="J21" s="81" t="str">
        <f>IFERROR(IF(MONTH('CRT222'!$B$7)=6,'CRT222'!$F$38,""),"")</f>
        <v/>
      </c>
      <c r="K21" s="81" t="str">
        <f>IFERROR(IF(MONTH('CRT222'!$B$7)=7,'CRT222'!$F$38,""),"")</f>
        <v/>
      </c>
      <c r="L21" s="81" t="str">
        <f>IFERROR(IF(MONTH('CRT222'!$B$7)=8,'CRT222'!$F$38,""),"")</f>
        <v/>
      </c>
      <c r="M21" s="81">
        <f>IFERROR(IF(MONTH('CRT222'!$B$7)=9,'CRT222'!$F$38,""),"")</f>
        <v>113</v>
      </c>
      <c r="N21" s="81" t="str">
        <f>IFERROR(IF(MONTH('CRT222'!$B$7)=10,'CRT222'!$F$38,""),"")</f>
        <v/>
      </c>
      <c r="O21" s="81" t="str">
        <f>IFERROR(IF(MONTH('CRT222'!$B$7)=11,'CRT222'!$F$38,""),"")</f>
        <v/>
      </c>
      <c r="P21" s="81" t="str">
        <f>IFERROR(IF(MONTH('CRT222'!$B$7)=12,'CRT222'!$F$38,""),"")</f>
        <v/>
      </c>
    </row>
    <row r="22" spans="3:16" ht="14.25" customHeight="1" x14ac:dyDescent="0.3">
      <c r="C22" s="82"/>
      <c r="D22" s="18" t="s">
        <v>378</v>
      </c>
      <c r="E22" s="83" t="str">
        <f>IFERROR(IF(MONTH('CRT222'!$B$7)=1,'CRT222'!$M$38,""),"")</f>
        <v/>
      </c>
      <c r="F22" s="83" t="str">
        <f>IFERROR(IF(MONTH('CRT222'!$B$7)=2,'CRT222'!$M$38,""),"")</f>
        <v/>
      </c>
      <c r="G22" s="83" t="str">
        <f>IFERROR(IF(MONTH('CRT222'!$B$7)=3,'CRT222'!$M$38,""),"")</f>
        <v/>
      </c>
      <c r="H22" s="83" t="str">
        <f>IFERROR(IF(MONTH('CRT222'!$B$7)=4,'CRT222'!$M$38,""),"")</f>
        <v/>
      </c>
      <c r="I22" s="83" t="str">
        <f>IFERROR(IF(MONTH('CRT222'!$B$7)=5,'CRT222'!$M$38,""),"")</f>
        <v/>
      </c>
      <c r="J22" s="83" t="str">
        <f>IFERROR(IF(MONTH('CRT222'!$B$7)=6,'CRT222'!$M$38,""),"")</f>
        <v/>
      </c>
      <c r="K22" s="83" t="str">
        <f>IFERROR(IF(MONTH('CRT222'!$B$7)=7,'CRT222'!$M$38,""),"")</f>
        <v/>
      </c>
      <c r="L22" s="83" t="str">
        <f>IFERROR(IF(MONTH('CRT222'!$B$7)=8,'CRT222'!$M$38,""),"")</f>
        <v/>
      </c>
      <c r="M22" s="83">
        <f>IFERROR(IF(MONTH('CRT222'!$B$7)=9,'CRT222'!$M$38,""),"")</f>
        <v>0.2025089605734767</v>
      </c>
      <c r="N22" s="83" t="str">
        <f>IFERROR(IF(MONTH('CRT222'!$B$7)=10,'CRT222'!$M$38,""),"")</f>
        <v/>
      </c>
      <c r="O22" s="83" t="str">
        <f>IFERROR(IF(MONTH('CRT222'!$B$7)=11,'CRT222'!$M$38,""),"")</f>
        <v/>
      </c>
      <c r="P22" s="83" t="str">
        <f>IFERROR(IF(MONTH('CRT222'!$B$7)=12,'CRT222'!$M$38,""),"")</f>
        <v/>
      </c>
    </row>
    <row r="23" spans="3:16" ht="14.25" customHeight="1" x14ac:dyDescent="0.3">
      <c r="C23" s="82"/>
      <c r="D23" s="18" t="s">
        <v>379</v>
      </c>
      <c r="E23" s="83" t="str">
        <f>IFERROR(IF(MONTH('CRT222'!$B$7)=1,'CRT222'!$O$38,""),"")</f>
        <v/>
      </c>
      <c r="F23" s="83" t="str">
        <f>IFERROR(IF(MONTH('CRT222'!$B$7)=2,'CRT222'!$O$38,""),"")</f>
        <v/>
      </c>
      <c r="G23" s="83" t="str">
        <f>IFERROR(IF(MONTH('CRT222'!$B$7)=3,'CRT222'!$O$38,""),"")</f>
        <v/>
      </c>
      <c r="H23" s="83" t="str">
        <f>IFERROR(IF(MONTH('CRT222'!$B$7)=4,'CRT222'!$O$38,""),"")</f>
        <v/>
      </c>
      <c r="I23" s="83" t="str">
        <f>IFERROR(IF(MONTH('CRT222'!$B$7)=5,'CRT222'!$O$38,""),"")</f>
        <v/>
      </c>
      <c r="J23" s="83" t="str">
        <f>IFERROR(IF(MONTH('CRT222'!$B$7)=6,'CRT222'!$O$38,""),"")</f>
        <v/>
      </c>
      <c r="K23" s="83" t="str">
        <f>IFERROR(IF(MONTH('CRT222'!$B$7)=7,'CRT222'!$O$38,""),"")</f>
        <v/>
      </c>
      <c r="L23" s="83" t="str">
        <f>IFERROR(IF(MONTH('CRT222'!$B$7)=8,'CRT222'!$O$38,""),"")</f>
        <v/>
      </c>
      <c r="M23" s="83">
        <f>IFERROR(IF(MONTH('CRT222'!$B$7)=9,'CRT222'!$O$38,""),"")</f>
        <v>0.46296296296296297</v>
      </c>
      <c r="N23" s="83" t="str">
        <f>IFERROR(IF(MONTH('CRT222'!$B$7)=10,'CRT222'!$O$38,""),"")</f>
        <v/>
      </c>
      <c r="O23" s="83" t="str">
        <f>IFERROR(IF(MONTH('CRT222'!$B$7)=11,'CRT222'!$O$38,""),"")</f>
        <v/>
      </c>
      <c r="P23" s="83" t="str">
        <f>IFERROR(IF(MONTH('CRT222'!$B$7)=12,'CRT222'!$O$38,""),"")</f>
        <v/>
      </c>
    </row>
    <row r="24" spans="3:16" ht="14.25" customHeight="1" x14ac:dyDescent="0.3">
      <c r="C24" s="82"/>
      <c r="D24" s="18" t="s">
        <v>54</v>
      </c>
      <c r="E24" s="81" t="str">
        <f>IFERROR(IF(MONTH('CRT222'!$B$7)=1,'CRT222'!$H$38,""),"")</f>
        <v/>
      </c>
      <c r="F24" s="81" t="str">
        <f>IFERROR(IF(MONTH('CRT222'!$B$7)=2,'CRT222'!$H$38,""),"")</f>
        <v/>
      </c>
      <c r="G24" s="81" t="str">
        <f>IFERROR(IF(MONTH('CRT222'!$B$7)=3,'CRT222'!$H$38,""),"")</f>
        <v/>
      </c>
      <c r="H24" s="81" t="str">
        <f>IFERROR(IF(MONTH('CRT222'!$B$7)=4,'CRT222'!$H$38,""),"")</f>
        <v/>
      </c>
      <c r="I24" s="81" t="str">
        <f>IFERROR(IF(MONTH('CRT222'!$B$7)=5,'CRT222'!$H$38,""),"")</f>
        <v/>
      </c>
      <c r="J24" s="81" t="str">
        <f>IFERROR(IF(MONTH('CRT222'!$B$7)=6,'CRT222'!$H$38,""),"")</f>
        <v/>
      </c>
      <c r="K24" s="81" t="str">
        <f>IFERROR(IF(MONTH('CRT222'!$B$7)=7,'CRT222'!$H$38,""),"")</f>
        <v/>
      </c>
      <c r="L24" s="81" t="str">
        <f>IFERROR(IF(MONTH('CRT222'!$B$7)=8,'CRT222'!$H$38,""),"")</f>
        <v/>
      </c>
      <c r="M24" s="81">
        <f>IFERROR(IF(MONTH('CRT222'!$B$7)=9,'CRT222'!$H$38,""),"")</f>
        <v>13</v>
      </c>
      <c r="N24" s="81" t="str">
        <f>IFERROR(IF(MONTH('CRT222'!$B$7)=10,'CRT222'!$H$38,""),"")</f>
        <v/>
      </c>
      <c r="O24" s="81" t="str">
        <f>IFERROR(IF(MONTH('CRT222'!$B$7)=11,'CRT222'!$H$38,""),"")</f>
        <v/>
      </c>
      <c r="P24" s="81" t="str">
        <f>IFERROR(IF(MONTH('CRT222'!$B$7)=12,'CRT222'!$H$38,""),"")</f>
        <v/>
      </c>
    </row>
    <row r="25" spans="3:16" ht="14.25" customHeight="1" x14ac:dyDescent="0.3">
      <c r="C25" s="82"/>
      <c r="D25" s="18" t="s">
        <v>55</v>
      </c>
      <c r="E25" s="81" t="str">
        <f>IFERROR(IF(MONTH('CRT222'!$B$7)=1,'CRT222'!$I$38,""),"")</f>
        <v/>
      </c>
      <c r="F25" s="81" t="str">
        <f>IFERROR(IF(MONTH('CRT222'!$B$7)=2,'CRT222'!$I$38,""),"")</f>
        <v/>
      </c>
      <c r="G25" s="81" t="str">
        <f>IFERROR(IF(MONTH('CRT222'!$B$7)=3,'CRT222'!$I$38,""),"")</f>
        <v/>
      </c>
      <c r="H25" s="81" t="str">
        <f>IFERROR(IF(MONTH('CRT222'!$B$7)=4,'CRT222'!$I$38,""),"")</f>
        <v/>
      </c>
      <c r="I25" s="81" t="str">
        <f>IFERROR(IF(MONTH('CRT222'!$B$7)=5,'CRT222'!$I$38,""),"")</f>
        <v/>
      </c>
      <c r="J25" s="81" t="str">
        <f>IFERROR(IF(MONTH('CRT222'!$B$7)=6,'CRT222'!$I$38,""),"")</f>
        <v/>
      </c>
      <c r="K25" s="81" t="str">
        <f>IFERROR(IF(MONTH('CRT222'!$B$7)=7,'CRT222'!$I$38,""),"")</f>
        <v/>
      </c>
      <c r="L25" s="81" t="str">
        <f>IFERROR(IF(MONTH('CRT222'!$B$7)=8,'CRT222'!$I$38,""),"")</f>
        <v/>
      </c>
      <c r="M25" s="81">
        <f>IFERROR(IF(MONTH('CRT222'!$B$7)=9,'CRT222'!$I$38,""),"")</f>
        <v>145</v>
      </c>
      <c r="N25" s="81" t="str">
        <f>IFERROR(IF(MONTH('CRT222'!$B$7)=10,'CRT222'!$I$38,""),"")</f>
        <v/>
      </c>
      <c r="O25" s="81" t="str">
        <f>IFERROR(IF(MONTH('CRT222'!$B$7)=11,'CRT222'!$I$38,""),"")</f>
        <v/>
      </c>
      <c r="P25" s="81" t="str">
        <f>IFERROR(IF(MONTH('CRT222'!$B$7)=12,'CRT222'!$I$38,""),"")</f>
        <v/>
      </c>
    </row>
    <row r="27" spans="3:16" ht="14.25" customHeight="1" x14ac:dyDescent="0.3">
      <c r="C27" s="17" t="s">
        <v>61</v>
      </c>
      <c r="D27" s="18" t="s">
        <v>47</v>
      </c>
      <c r="E27" s="81" t="str">
        <f>IFERROR(IF(MONTH('CRT224'!$B$7)=1,'CRT224'!$J$38,""),"")</f>
        <v/>
      </c>
      <c r="F27" s="81" t="str">
        <f>IFERROR(IF(MONTH('CRT224'!$B$7)=2,'CRT224'!$J$38,""),"")</f>
        <v/>
      </c>
      <c r="G27" s="81" t="str">
        <f>IFERROR(IF(MONTH('CRT224'!$B$7)=3,'CRT224'!$J$38,""),"")</f>
        <v/>
      </c>
      <c r="H27" s="81" t="str">
        <f>IFERROR(IF(MONTH('CRT224'!$B$7)=4,'CRT224'!$J$38,""),"")</f>
        <v/>
      </c>
      <c r="I27" s="81" t="str">
        <f>IFERROR(IF(MONTH('CRT224'!$B$7)=5,'CRT224'!$J$38,""),"")</f>
        <v/>
      </c>
      <c r="J27" s="81" t="str">
        <f>IFERROR(IF(MONTH('CRT224'!$B$7)=6,'CRT224'!$J$38,""),"")</f>
        <v/>
      </c>
      <c r="K27" s="81" t="str">
        <f>IFERROR(IF(MONTH('CRT224'!$B$7)=7,'CRT224'!$J$38,""),"")</f>
        <v/>
      </c>
      <c r="L27" s="81" t="str">
        <f>IFERROR(IF(MONTH('CRT224'!$B$7)=8,'CRT224'!$J$38,""),"")</f>
        <v/>
      </c>
      <c r="M27" s="81">
        <f>IFERROR(IF(MONTH('CRT224'!$B$7)=9,'CRT224'!$J$38,""),"")</f>
        <v>558</v>
      </c>
      <c r="N27" s="81" t="str">
        <f>IFERROR(IF(MONTH('CRT224'!$B$7)=10,'CRT224'!$J$38,""),"")</f>
        <v/>
      </c>
      <c r="O27" s="81" t="str">
        <f>IFERROR(IF(MONTH('CRT224'!$B$7)=11,'CRT224'!$J$38,""),"")</f>
        <v/>
      </c>
      <c r="P27" s="81" t="str">
        <f>IFERROR(IF(MONTH('CRT224'!$B$7)=12,'CRT224'!$J$38,""),"")</f>
        <v/>
      </c>
    </row>
    <row r="28" spans="3:16" ht="14.25" customHeight="1" x14ac:dyDescent="0.3">
      <c r="C28" s="82"/>
      <c r="D28" s="18" t="s">
        <v>377</v>
      </c>
      <c r="E28" s="81" t="str">
        <f>IFERROR(IF(MONTH('CRT224'!$B$7)=1,'CRT224'!$F$38,""),"")</f>
        <v/>
      </c>
      <c r="F28" s="81" t="str">
        <f>IFERROR(IF(MONTH('CRT224'!$B$7)=2,'CRT224'!$F$38,""),"")</f>
        <v/>
      </c>
      <c r="G28" s="81" t="str">
        <f>IFERROR(IF(MONTH('CRT224'!$B$7)=3,'CRT224'!$F$38,""),"")</f>
        <v/>
      </c>
      <c r="H28" s="81" t="str">
        <f>IFERROR(IF(MONTH('CRT224'!$B$7)=4,'CRT224'!$F$38,""),"")</f>
        <v/>
      </c>
      <c r="I28" s="81" t="str">
        <f>IFERROR(IF(MONTH('CRT224'!$B$7)=5,'CRT224'!$F$38,""),"")</f>
        <v/>
      </c>
      <c r="J28" s="81" t="str">
        <f>IFERROR(IF(MONTH('CRT224'!$B$7)=6,'CRT224'!$F$38,""),"")</f>
        <v/>
      </c>
      <c r="K28" s="81" t="str">
        <f>IFERROR(IF(MONTH('CRT224'!$B$7)=7,'CRT224'!$F$38,""),"")</f>
        <v/>
      </c>
      <c r="L28" s="81" t="str">
        <f>IFERROR(IF(MONTH('CRT224'!$B$7)=8,'CRT224'!$F$38,""),"")</f>
        <v/>
      </c>
      <c r="M28" s="81">
        <f>IFERROR(IF(MONTH('CRT224'!$B$7)=9,'CRT224'!$F$38,""),"")</f>
        <v>231</v>
      </c>
      <c r="N28" s="81" t="str">
        <f>IFERROR(IF(MONTH('CRT224'!$B$7)=10,'CRT224'!$F$38,""),"")</f>
        <v/>
      </c>
      <c r="O28" s="81" t="str">
        <f>IFERROR(IF(MONTH('CRT224'!$B$7)=11,'CRT224'!$F$38,""),"")</f>
        <v/>
      </c>
      <c r="P28" s="81" t="str">
        <f>IFERROR(IF(MONTH('CRT224'!$B$7)=12,'CRT224'!$F$38,""),"")</f>
        <v/>
      </c>
    </row>
    <row r="29" spans="3:16" ht="14.25" customHeight="1" x14ac:dyDescent="0.3">
      <c r="C29" s="82"/>
      <c r="D29" s="18" t="s">
        <v>378</v>
      </c>
      <c r="E29" s="83" t="str">
        <f>IFERROR(IF(MONTH('CRT224'!$B$7)=1,'CRT224'!$M$38,""),"")</f>
        <v/>
      </c>
      <c r="F29" s="83" t="str">
        <f>IFERROR(IF(MONTH('CRT224'!$B$7)=2,'CRT224'!$M$38,""),"")</f>
        <v/>
      </c>
      <c r="G29" s="83" t="str">
        <f>IFERROR(IF(MONTH('CRT224'!$B$7)=3,'CRT224'!$M$38,""),"")</f>
        <v/>
      </c>
      <c r="H29" s="83" t="str">
        <f>IFERROR(IF(MONTH('CRT224'!$B$7)=4,'CRT224'!$M$38,""),"")</f>
        <v/>
      </c>
      <c r="I29" s="83" t="str">
        <f>IFERROR(IF(MONTH('CRT224'!$B$7)=5,'CRT224'!$M$38,""),"")</f>
        <v/>
      </c>
      <c r="J29" s="83" t="str">
        <f>IFERROR(IF(MONTH('CRT224'!$B$7)=6,'CRT224'!$M$38,""),"")</f>
        <v/>
      </c>
      <c r="K29" s="83" t="str">
        <f>IFERROR(IF(MONTH('CRT224'!$B$7)=7,'CRT224'!$M$38,""),"")</f>
        <v/>
      </c>
      <c r="L29" s="83" t="str">
        <f>IFERROR(IF(MONTH('CRT224'!$B$7)=8,'CRT224'!$M$38,""),"")</f>
        <v/>
      </c>
      <c r="M29" s="83">
        <f>IFERROR(IF(MONTH('CRT224'!$B$7)=9,'CRT224'!$M$38,""),"")</f>
        <v>0.41397849462365593</v>
      </c>
      <c r="N29" s="83" t="str">
        <f>IFERROR(IF(MONTH('CRT224'!$B$7)=10,'CRT224'!$M$38,""),"")</f>
        <v/>
      </c>
      <c r="O29" s="83" t="str">
        <f>IFERROR(IF(MONTH('CRT224'!$B$7)=11,'CRT224'!$M$38,""),"")</f>
        <v/>
      </c>
      <c r="P29" s="83" t="str">
        <f>IFERROR(IF(MONTH('CRT224'!$B$7)=12,'CRT224'!$M$38,""),"")</f>
        <v/>
      </c>
    </row>
    <row r="30" spans="3:16" ht="14.25" customHeight="1" x14ac:dyDescent="0.3">
      <c r="C30" s="82"/>
      <c r="D30" s="18" t="s">
        <v>379</v>
      </c>
      <c r="E30" s="83" t="str">
        <f>IFERROR(IF(MONTH('CRT224'!$B$7)=1,'CRT224'!$O$38,""),"")</f>
        <v/>
      </c>
      <c r="F30" s="83" t="str">
        <f>IFERROR(IF(MONTH('CRT224'!$B$7)=2,'CRT224'!$O$38,""),"")</f>
        <v/>
      </c>
      <c r="G30" s="83" t="str">
        <f>IFERROR(IF(MONTH('CRT224'!$B$7)=3,'CRT224'!$O$38,""),"")</f>
        <v/>
      </c>
      <c r="H30" s="83" t="str">
        <f>IFERROR(IF(MONTH('CRT224'!$B$7)=4,'CRT224'!$O$38,""),"")</f>
        <v/>
      </c>
      <c r="I30" s="83" t="str">
        <f>IFERROR(IF(MONTH('CRT224'!$B$7)=5,'CRT224'!$O$38,""),"")</f>
        <v/>
      </c>
      <c r="J30" s="83" t="str">
        <f>IFERROR(IF(MONTH('CRT224'!$B$7)=6,'CRT224'!$O$38,""),"")</f>
        <v/>
      </c>
      <c r="K30" s="83" t="str">
        <f>IFERROR(IF(MONTH('CRT224'!$B$7)=7,'CRT224'!$O$38,""),"")</f>
        <v/>
      </c>
      <c r="L30" s="83" t="str">
        <f>IFERROR(IF(MONTH('CRT224'!$B$7)=8,'CRT224'!$O$38,""),"")</f>
        <v/>
      </c>
      <c r="M30" s="83">
        <f>IFERROR(IF(MONTH('CRT224'!$B$7)=9,'CRT224'!$O$38,""),"")</f>
        <v>0.95925925925925926</v>
      </c>
      <c r="N30" s="83" t="str">
        <f>IFERROR(IF(MONTH('CRT224'!$B$7)=10,'CRT224'!$O$38,""),"")</f>
        <v/>
      </c>
      <c r="O30" s="83" t="str">
        <f>IFERROR(IF(MONTH('CRT224'!$B$7)=11,'CRT224'!$O$38,""),"")</f>
        <v/>
      </c>
      <c r="P30" s="83" t="str">
        <f>IFERROR(IF(MONTH('CRT224'!$B$7)=12,'CRT224'!$O$38,""),"")</f>
        <v/>
      </c>
    </row>
    <row r="31" spans="3:16" ht="14.25" customHeight="1" x14ac:dyDescent="0.3">
      <c r="C31" s="82"/>
      <c r="D31" s="18" t="s">
        <v>54</v>
      </c>
      <c r="E31" s="81" t="str">
        <f>IFERROR(IF(MONTH('CRT224'!$B$7)=1,'CRT224'!$H$38,""),"")</f>
        <v/>
      </c>
      <c r="F31" s="81" t="str">
        <f>IFERROR(IF(MONTH('CRT224'!$B$7)=2,'CRT224'!$H$38,""),"")</f>
        <v/>
      </c>
      <c r="G31" s="81" t="str">
        <f>IFERROR(IF(MONTH('CRT224'!$B$7)=3,'CRT224'!$H$38,""),"")</f>
        <v/>
      </c>
      <c r="H31" s="81" t="str">
        <f>IFERROR(IF(MONTH('CRT224'!$B$7)=4,'CRT224'!$H$38,""),"")</f>
        <v/>
      </c>
      <c r="I31" s="81" t="str">
        <f>IFERROR(IF(MONTH('CRT224'!$B$7)=5,'CRT224'!$H$38,""),"")</f>
        <v/>
      </c>
      <c r="J31" s="81" t="str">
        <f>IFERROR(IF(MONTH('CRT224'!$B$7)=6,'CRT224'!$H$38,""),"")</f>
        <v/>
      </c>
      <c r="K31" s="81" t="str">
        <f>IFERROR(IF(MONTH('CRT224'!$B$7)=7,'CRT224'!$H$38,""),"")</f>
        <v/>
      </c>
      <c r="L31" s="81" t="str">
        <f>IFERROR(IF(MONTH('CRT224'!$B$7)=8,'CRT224'!$H$38,""),"")</f>
        <v/>
      </c>
      <c r="M31" s="81">
        <f>IFERROR(IF(MONTH('CRT224'!$B$7)=9,'CRT224'!$H$38,""),"")</f>
        <v>35</v>
      </c>
      <c r="N31" s="81" t="str">
        <f>IFERROR(IF(MONTH('CRT224'!$B$7)=10,'CRT224'!$H$38,""),"")</f>
        <v/>
      </c>
      <c r="O31" s="81" t="str">
        <f>IFERROR(IF(MONTH('CRT224'!$B$7)=11,'CRT224'!$H$38,""),"")</f>
        <v/>
      </c>
      <c r="P31" s="81" t="str">
        <f>IFERROR(IF(MONTH('CRT224'!$B$7)=12,'CRT224'!$H$38,""),"")</f>
        <v/>
      </c>
    </row>
    <row r="32" spans="3:16" ht="14.25" customHeight="1" x14ac:dyDescent="0.3">
      <c r="C32" s="82"/>
      <c r="D32" s="18" t="s">
        <v>55</v>
      </c>
      <c r="E32" s="81" t="str">
        <f>IFERROR(IF(MONTH('CRT224'!$B$7)=1,'CRT224'!$I$38,""),"")</f>
        <v/>
      </c>
      <c r="F32" s="81" t="str">
        <f>IFERROR(IF(MONTH('CRT224'!$B$7)=2,'CRT224'!$I$38,""),"")</f>
        <v/>
      </c>
      <c r="G32" s="81" t="str">
        <f>IFERROR(IF(MONTH('CRT224'!$B$7)=3,'CRT224'!$I$38,""),"")</f>
        <v/>
      </c>
      <c r="H32" s="81" t="str">
        <f>IFERROR(IF(MONTH('CRT224'!$B$7)=4,'CRT224'!$I$38,""),"")</f>
        <v/>
      </c>
      <c r="I32" s="81" t="str">
        <f>IFERROR(IF(MONTH('CRT224'!$B$7)=5,'CRT224'!$I$38,""),"")</f>
        <v/>
      </c>
      <c r="J32" s="81" t="str">
        <f>IFERROR(IF(MONTH('CRT224'!$B$7)=6,'CRT224'!$I$38,""),"")</f>
        <v/>
      </c>
      <c r="K32" s="81" t="str">
        <f>IFERROR(IF(MONTH('CRT224'!$B$7)=7,'CRT224'!$I$38,""),"")</f>
        <v/>
      </c>
      <c r="L32" s="81" t="str">
        <f>IFERROR(IF(MONTH('CRT224'!$B$7)=8,'CRT224'!$I$38,""),"")</f>
        <v/>
      </c>
      <c r="M32" s="81">
        <f>IFERROR(IF(MONTH('CRT224'!$B$7)=9,'CRT224'!$I$38,""),"")</f>
        <v>11</v>
      </c>
      <c r="N32" s="81" t="str">
        <f>IFERROR(IF(MONTH('CRT224'!$B$7)=10,'CRT224'!$I$38,""),"")</f>
        <v/>
      </c>
      <c r="O32" s="81" t="str">
        <f>IFERROR(IF(MONTH('CRT224'!$B$7)=11,'CRT224'!$I$38,""),"")</f>
        <v/>
      </c>
      <c r="P32" s="81" t="str">
        <f>IFERROR(IF(MONTH('CRT224'!$B$7)=12,'CRT224'!$I$38,""),"")</f>
        <v/>
      </c>
    </row>
    <row r="34" spans="3:16" ht="14.25" customHeight="1" x14ac:dyDescent="0.3">
      <c r="C34" s="17" t="s">
        <v>63</v>
      </c>
      <c r="D34" s="18" t="s">
        <v>47</v>
      </c>
      <c r="E34" s="81" t="str">
        <f>IFERROR(IF(MONTH('CRT225'!$B$7)=1,'CRT225'!$J$38,""),"")</f>
        <v/>
      </c>
      <c r="F34" s="81" t="str">
        <f>IFERROR(IF(MONTH('CRT225'!$B$7)=2,'CRT225'!$J$38,""),"")</f>
        <v/>
      </c>
      <c r="G34" s="81" t="str">
        <f>IFERROR(IF(MONTH('CRT225'!$B$7)=3,'CRT225'!$J$38,""),"")</f>
        <v/>
      </c>
      <c r="H34" s="81" t="str">
        <f>IFERROR(IF(MONTH('CRT225'!$B$7)=4,'CRT225'!$J$38,""),"")</f>
        <v/>
      </c>
      <c r="I34" s="81" t="str">
        <f>IFERROR(IF(MONTH('CRT225'!$B$7)=5,'CRT225'!$J$38,""),"")</f>
        <v/>
      </c>
      <c r="J34" s="81" t="str">
        <f>IFERROR(IF(MONTH('CRT225'!$B$7)=6,'CRT225'!$J$38,""),"")</f>
        <v/>
      </c>
      <c r="K34" s="81" t="str">
        <f>IFERROR(IF(MONTH('CRT225'!$B$7)=7,'CRT225'!$J$38,""),"")</f>
        <v/>
      </c>
      <c r="L34" s="81" t="str">
        <f>IFERROR(IF(MONTH('CRT225'!$B$7)=8,'CRT225'!$J$38,""),"")</f>
        <v/>
      </c>
      <c r="M34" s="81">
        <f>IFERROR(IF(MONTH('CRT225'!$B$7)=9,'CRT225'!$J$38,""),"")</f>
        <v>558</v>
      </c>
      <c r="N34" s="81" t="str">
        <f>IFERROR(IF(MONTH('CRT225'!$B$7)=10,'CRT225'!$J$38,""),"")</f>
        <v/>
      </c>
      <c r="O34" s="81" t="str">
        <f>IFERROR(IF(MONTH('CRT225'!$B$7)=11,'CRT225'!$J$38,""),"")</f>
        <v/>
      </c>
      <c r="P34" s="81" t="str">
        <f>IFERROR(IF(MONTH('CRT225'!$B$7)=12,'CRT225'!$J$38,""),"")</f>
        <v/>
      </c>
    </row>
    <row r="35" spans="3:16" ht="14.25" customHeight="1" x14ac:dyDescent="0.3">
      <c r="C35" s="82"/>
      <c r="D35" s="18" t="s">
        <v>377</v>
      </c>
      <c r="E35" s="81" t="str">
        <f>IFERROR(IF(MONTH('CRT225'!$B$7)=1,'CRT225'!$F$38,""),"")</f>
        <v/>
      </c>
      <c r="F35" s="81" t="str">
        <f>IFERROR(IF(MONTH('CRT225'!$B$7)=2,'CRT225'!$F$38,""),"")</f>
        <v/>
      </c>
      <c r="G35" s="81" t="str">
        <f>IFERROR(IF(MONTH('CRT225'!$B$7)=3,'CRT225'!$F$38,""),"")</f>
        <v/>
      </c>
      <c r="H35" s="81" t="str">
        <f>IFERROR(IF(MONTH('CRT225'!$B$7)=4,'CRT225'!$F$38,""),"")</f>
        <v/>
      </c>
      <c r="I35" s="81" t="str">
        <f>IFERROR(IF(MONTH('CRT225'!$B$7)=5,'CRT225'!$F$38,""),"")</f>
        <v/>
      </c>
      <c r="J35" s="81" t="str">
        <f>IFERROR(IF(MONTH('CRT225'!$B$7)=6,'CRT225'!$F$38,""),"")</f>
        <v/>
      </c>
      <c r="K35" s="81" t="str">
        <f>IFERROR(IF(MONTH('CRT225'!$B$7)=7,'CRT225'!$F$38,""),"")</f>
        <v/>
      </c>
      <c r="L35" s="81" t="str">
        <f>IFERROR(IF(MONTH('CRT225'!$B$7)=8,'CRT225'!$F$38,""),"")</f>
        <v/>
      </c>
      <c r="M35" s="81">
        <f>IFERROR(IF(MONTH('CRT225'!$B$7)=9,'CRT225'!$F$38,""),"")</f>
        <v>123</v>
      </c>
      <c r="N35" s="81" t="str">
        <f>IFERROR(IF(MONTH('CRT225'!$B$7)=10,'CRT225'!$F$38,""),"")</f>
        <v/>
      </c>
      <c r="O35" s="81" t="str">
        <f>IFERROR(IF(MONTH('CRT225'!$B$7)=11,'CRT225'!$F$38,""),"")</f>
        <v/>
      </c>
      <c r="P35" s="81" t="str">
        <f>IFERROR(IF(MONTH('CRT225'!$B$7)=12,'CRT225'!$F$38,""),"")</f>
        <v/>
      </c>
    </row>
    <row r="36" spans="3:16" ht="14.25" customHeight="1" x14ac:dyDescent="0.3">
      <c r="C36" s="82"/>
      <c r="D36" s="18" t="s">
        <v>378</v>
      </c>
      <c r="E36" s="83" t="str">
        <f>IFERROR(IF(MONTH('CRT225'!$B$7)=1,'CRT225'!$M$38,""),"")</f>
        <v/>
      </c>
      <c r="F36" s="83" t="str">
        <f>IFERROR(IF(MONTH('CRT225'!$B$7)=2,'CRT225'!$M$38,""),"")</f>
        <v/>
      </c>
      <c r="G36" s="83" t="str">
        <f>IFERROR(IF(MONTH('CRT225'!$B$7)=3,'CRT225'!$M$38,""),"")</f>
        <v/>
      </c>
      <c r="H36" s="83" t="str">
        <f>IFERROR(IF(MONTH('CRT225'!$B$7)=4,'CRT225'!$M$38,""),"")</f>
        <v/>
      </c>
      <c r="I36" s="83" t="str">
        <f>IFERROR(IF(MONTH('CRT225'!$B$7)=5,'CRT225'!$M$38,""),"")</f>
        <v/>
      </c>
      <c r="J36" s="83" t="str">
        <f>IFERROR(IF(MONTH('CRT225'!$B$7)=6,'CRT225'!$M$38,""),"")</f>
        <v/>
      </c>
      <c r="K36" s="83" t="str">
        <f>IFERROR(IF(MONTH('CRT225'!$B$7)=7,'CRT225'!$M$38,""),"")</f>
        <v/>
      </c>
      <c r="L36" s="83" t="str">
        <f>IFERROR(IF(MONTH('CRT225'!$B$7)=8,'CRT225'!$M$38,""),"")</f>
        <v/>
      </c>
      <c r="M36" s="83">
        <f>IFERROR(IF(MONTH('CRT225'!$B$7)=9,'CRT225'!$M$38,""),"")</f>
        <v>0.22043010752688172</v>
      </c>
      <c r="N36" s="83" t="str">
        <f>IFERROR(IF(MONTH('CRT225'!$B$7)=10,'CRT225'!$M$38,""),"")</f>
        <v/>
      </c>
      <c r="O36" s="83" t="str">
        <f>IFERROR(IF(MONTH('CRT225'!$B$7)=11,'CRT225'!$M$38,""),"")</f>
        <v/>
      </c>
      <c r="P36" s="83" t="str">
        <f>IFERROR(IF(MONTH('CRT225'!$B$7)=12,'CRT225'!$M$38,""),"")</f>
        <v/>
      </c>
    </row>
    <row r="37" spans="3:16" ht="14.25" customHeight="1" x14ac:dyDescent="0.3">
      <c r="C37" s="82"/>
      <c r="D37" s="18" t="s">
        <v>379</v>
      </c>
      <c r="E37" s="83" t="str">
        <f>IFERROR(IF(MONTH('CRT225'!$B$7)=1,'CRT225'!$O$38,""),"")</f>
        <v/>
      </c>
      <c r="F37" s="83" t="str">
        <f>IFERROR(IF(MONTH('CRT225'!$B$7)=2,'CRT225'!$O$38,""),"")</f>
        <v/>
      </c>
      <c r="G37" s="83" t="str">
        <f>IFERROR(IF(MONTH('CRT225'!$B$7)=3,'CRT225'!$O$38,""),"")</f>
        <v/>
      </c>
      <c r="H37" s="83" t="str">
        <f>IFERROR(IF(MONTH('CRT225'!$B$7)=4,'CRT225'!$O$38,""),"")</f>
        <v/>
      </c>
      <c r="I37" s="83" t="str">
        <f>IFERROR(IF(MONTH('CRT225'!$B$7)=5,'CRT225'!$O$38,""),"")</f>
        <v/>
      </c>
      <c r="J37" s="83" t="str">
        <f>IFERROR(IF(MONTH('CRT225'!$B$7)=6,'CRT225'!$O$38,""),"")</f>
        <v/>
      </c>
      <c r="K37" s="83" t="str">
        <f>IFERROR(IF(MONTH('CRT225'!$B$7)=7,'CRT225'!$O$38,""),"")</f>
        <v/>
      </c>
      <c r="L37" s="83" t="str">
        <f>IFERROR(IF(MONTH('CRT225'!$B$7)=8,'CRT225'!$O$38,""),"")</f>
        <v/>
      </c>
      <c r="M37" s="83">
        <f>IFERROR(IF(MONTH('CRT225'!$B$7)=9,'CRT225'!$O$38,""),"")</f>
        <v>1</v>
      </c>
      <c r="N37" s="83" t="str">
        <f>IFERROR(IF(MONTH('CRT225'!$B$7)=10,'CRT225'!$O$38,""),"")</f>
        <v/>
      </c>
      <c r="O37" s="83" t="str">
        <f>IFERROR(IF(MONTH('CRT225'!$B$7)=11,'CRT225'!$O$38,""),"")</f>
        <v/>
      </c>
      <c r="P37" s="83" t="str">
        <f>IFERROR(IF(MONTH('CRT225'!$B$7)=12,'CRT225'!$O$38,""),"")</f>
        <v/>
      </c>
    </row>
    <row r="38" spans="3:16" ht="14.25" customHeight="1" x14ac:dyDescent="0.3">
      <c r="C38" s="82"/>
      <c r="D38" s="18" t="s">
        <v>54</v>
      </c>
      <c r="E38" s="81" t="str">
        <f>IFERROR(IF(MONTH('CRT225'!$B$7)=1,'CRT225'!$H$38,""),"")</f>
        <v/>
      </c>
      <c r="F38" s="81" t="str">
        <f>IFERROR(IF(MONTH('CRT225'!$B$7)=2,'CRT225'!$H$38,""),"")</f>
        <v/>
      </c>
      <c r="G38" s="81" t="str">
        <f>IFERROR(IF(MONTH('CRT225'!$B$7)=3,'CRT225'!$H$38,""),"")</f>
        <v/>
      </c>
      <c r="H38" s="81" t="str">
        <f>IFERROR(IF(MONTH('CRT225'!$B$7)=4,'CRT225'!$H$38,""),"")</f>
        <v/>
      </c>
      <c r="I38" s="81" t="str">
        <f>IFERROR(IF(MONTH('CRT225'!$B$7)=5,'CRT225'!$H$38,""),"")</f>
        <v/>
      </c>
      <c r="J38" s="81" t="str">
        <f>IFERROR(IF(MONTH('CRT225'!$B$7)=6,'CRT225'!$H$38,""),"")</f>
        <v/>
      </c>
      <c r="K38" s="81" t="str">
        <f>IFERROR(IF(MONTH('CRT225'!$B$7)=7,'CRT225'!$H$38,""),"")</f>
        <v/>
      </c>
      <c r="L38" s="81" t="str">
        <f>IFERROR(IF(MONTH('CRT225'!$B$7)=8,'CRT225'!$H$38,""),"")</f>
        <v/>
      </c>
      <c r="M38" s="81">
        <f>IFERROR(IF(MONTH('CRT225'!$B$7)=9,'CRT225'!$H$38,""),"")</f>
        <v>143</v>
      </c>
      <c r="N38" s="81" t="str">
        <f>IFERROR(IF(MONTH('CRT225'!$B$7)=10,'CRT225'!$H$38,""),"")</f>
        <v/>
      </c>
      <c r="O38" s="81" t="str">
        <f>IFERROR(IF(MONTH('CRT225'!$B$7)=11,'CRT225'!$H$38,""),"")</f>
        <v/>
      </c>
      <c r="P38" s="81" t="str">
        <f>IFERROR(IF(MONTH('CRT225'!$B$7)=12,'CRT225'!$H$38,""),"")</f>
        <v/>
      </c>
    </row>
    <row r="39" spans="3:16" ht="14.25" customHeight="1" x14ac:dyDescent="0.3">
      <c r="C39" s="82"/>
      <c r="D39" s="18" t="s">
        <v>55</v>
      </c>
      <c r="E39" s="81" t="str">
        <f>IFERROR(IF(MONTH('CRT225'!$B$7)=1,'CRT225'!$I$38,""),"")</f>
        <v/>
      </c>
      <c r="F39" s="81" t="str">
        <f>IFERROR(IF(MONTH('CRT225'!$B$7)=2,'CRT225'!$I$38,""),"")</f>
        <v/>
      </c>
      <c r="G39" s="81" t="str">
        <f>IFERROR(IF(MONTH('CRT225'!$B$7)=3,'CRT225'!$I$38,""),"")</f>
        <v/>
      </c>
      <c r="H39" s="81" t="str">
        <f>IFERROR(IF(MONTH('CRT225'!$B$7)=4,'CRT225'!$I$38,""),"")</f>
        <v/>
      </c>
      <c r="I39" s="81" t="str">
        <f>IFERROR(IF(MONTH('CRT225'!$B$7)=5,'CRT225'!$I$38,""),"")</f>
        <v/>
      </c>
      <c r="J39" s="81" t="str">
        <f>IFERROR(IF(MONTH('CRT225'!$B$7)=6,'CRT225'!$I$38,""),"")</f>
        <v/>
      </c>
      <c r="K39" s="81" t="str">
        <f>IFERROR(IF(MONTH('CRT225'!$B$7)=7,'CRT225'!$I$38,""),"")</f>
        <v/>
      </c>
      <c r="L39" s="81" t="str">
        <f>IFERROR(IF(MONTH('CRT225'!$B$7)=8,'CRT225'!$I$38,""),"")</f>
        <v/>
      </c>
      <c r="M39" s="81">
        <f>IFERROR(IF(MONTH('CRT225'!$B$7)=9,'CRT225'!$I$38,""),"")</f>
        <v>0</v>
      </c>
      <c r="N39" s="81" t="str">
        <f>IFERROR(IF(MONTH('CRT225'!$B$7)=10,'CRT225'!$I$38,""),"")</f>
        <v/>
      </c>
      <c r="O39" s="81" t="str">
        <f>IFERROR(IF(MONTH('CRT225'!$B$7)=11,'CRT225'!$I$38,""),"")</f>
        <v/>
      </c>
      <c r="P39" s="81" t="str">
        <f>IFERROR(IF(MONTH('CRT225'!$B$7)=12,'CRT225'!$I$38,""),"")</f>
        <v/>
      </c>
    </row>
  </sheetData>
  <sheetProtection algorithmName="SHA-512" hashValue="GeEmls9jLoh7+VH5IpI+R/Npt9+x1xhJZl7rnG8uIlMMGYPLgf8o+R/TDtmwuBH3F27ac91Q+q15wOojzx5Bcg==" saltValue="cIoWiHuTzsaVXvBMEbF1Yw==" spinCount="100000" sheet="1" objects="1" scenarios="1" selectLockedCells="1" selectUnlockedCells="1"/>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V33"/>
  <sheetViews>
    <sheetView showGridLines="0" topLeftCell="A8" zoomScaleNormal="100" workbookViewId="0">
      <selection activeCell="V14" sqref="V14"/>
    </sheetView>
  </sheetViews>
  <sheetFormatPr defaultColWidth="8.6640625" defaultRowHeight="14.4" x14ac:dyDescent="0.3"/>
  <cols>
    <col min="1" max="1" width="3.77734375" customWidth="1"/>
    <col min="2" max="2" width="12" customWidth="1"/>
    <col min="3" max="4" width="18" customWidth="1"/>
    <col min="5" max="5" width="20" customWidth="1"/>
    <col min="6" max="6" width="11" customWidth="1"/>
    <col min="7" max="8" width="13" customWidth="1"/>
    <col min="9" max="9" width="10" customWidth="1"/>
    <col min="10" max="10" width="26" customWidth="1"/>
    <col min="11" max="11" width="16" customWidth="1"/>
    <col min="12" max="12" width="15" customWidth="1"/>
    <col min="13" max="16" width="13" customWidth="1"/>
    <col min="17" max="17" width="10" customWidth="1"/>
    <col min="18" max="18" width="12" customWidth="1"/>
    <col min="19" max="19" width="11" customWidth="1"/>
    <col min="20" max="20" width="8" customWidth="1"/>
    <col min="21" max="21" width="42" customWidth="1"/>
    <col min="22" max="22" width="9" customWidth="1"/>
  </cols>
  <sheetData>
    <row r="2" spans="2:22" ht="18" x14ac:dyDescent="0.35">
      <c r="B2" s="58" t="s">
        <v>210</v>
      </c>
    </row>
    <row r="3" spans="2:22" x14ac:dyDescent="0.3">
      <c r="B3" s="59" t="s">
        <v>43</v>
      </c>
    </row>
    <row r="4" spans="2:22" x14ac:dyDescent="0.3">
      <c r="B4" s="31" t="s">
        <v>211</v>
      </c>
    </row>
    <row r="6" spans="2:22" ht="30" customHeight="1" x14ac:dyDescent="0.3">
      <c r="B6" s="2" t="s">
        <v>212</v>
      </c>
      <c r="C6" s="2" t="s">
        <v>213</v>
      </c>
      <c r="D6" s="2" t="s">
        <v>214</v>
      </c>
      <c r="E6" s="2" t="s">
        <v>215</v>
      </c>
      <c r="F6" s="2" t="s">
        <v>216</v>
      </c>
      <c r="G6" s="2" t="s">
        <v>217</v>
      </c>
      <c r="H6" s="2" t="s">
        <v>218</v>
      </c>
      <c r="I6" s="2" t="s">
        <v>219</v>
      </c>
      <c r="J6" s="2" t="s">
        <v>220</v>
      </c>
      <c r="K6" s="2" t="s">
        <v>221</v>
      </c>
      <c r="L6" s="2" t="s">
        <v>222</v>
      </c>
      <c r="M6" s="2" t="s">
        <v>223</v>
      </c>
      <c r="N6" s="2" t="s">
        <v>224</v>
      </c>
      <c r="O6" s="2" t="s">
        <v>225</v>
      </c>
      <c r="P6" s="2" t="s">
        <v>226</v>
      </c>
      <c r="Q6" s="2" t="s">
        <v>227</v>
      </c>
      <c r="R6" s="2" t="s">
        <v>228</v>
      </c>
      <c r="S6" s="2" t="s">
        <v>229</v>
      </c>
      <c r="T6" s="2" t="s">
        <v>230</v>
      </c>
      <c r="U6" s="2" t="s">
        <v>231</v>
      </c>
      <c r="V6" s="2" t="s">
        <v>95</v>
      </c>
    </row>
    <row r="7" spans="2:22" x14ac:dyDescent="0.3">
      <c r="B7" s="67" t="s">
        <v>57</v>
      </c>
      <c r="C7" s="61" t="s">
        <v>58</v>
      </c>
      <c r="D7" s="61" t="s">
        <v>232</v>
      </c>
      <c r="E7" s="61" t="s">
        <v>233</v>
      </c>
      <c r="F7" s="61" t="s">
        <v>16</v>
      </c>
      <c r="G7" s="61" t="s">
        <v>18</v>
      </c>
      <c r="H7" s="61" t="s">
        <v>556</v>
      </c>
      <c r="I7" s="61" t="s">
        <v>557</v>
      </c>
      <c r="J7" s="61"/>
      <c r="K7" s="61" t="s">
        <v>306</v>
      </c>
      <c r="L7" s="66" t="str">
        <f t="shared" ref="L7:L21" ca="1" si="0">IF($B7="","",IF(OR($R7="OVERDUE",$S7="OVERDUE"),"OVERDUE",IF(OR($R7="DUE",$S7="DUE"),"DUE","UP TO DATE")))</f>
        <v>UP TO DATE</v>
      </c>
      <c r="M7" s="68"/>
      <c r="N7" s="68"/>
      <c r="O7" s="69" t="str">
        <f>IF($M7="","",$M7+'SETUP &amp; TARGETS'!$C$33)</f>
        <v/>
      </c>
      <c r="P7" s="68"/>
      <c r="Q7" s="70" t="str">
        <f t="shared" ref="Q7:Q21" ca="1" si="1">IF($P7="","",$P7-TODAY())</f>
        <v/>
      </c>
      <c r="R7" s="66" t="str">
        <f ca="1">IF($O7="","",IF(TODAY()&gt;$O7,"OVERDUE",IF($O7-TODAY()&lt;='SETUP &amp; TARGETS'!$C$34,"DUE","OK")))</f>
        <v/>
      </c>
      <c r="S7" s="66" t="str">
        <f>IF($P7="","",IF($Q7&lt;0,"OVERDUE",IF($Q7&lt;='SETUP &amp; TARGETS'!$C$34,"DUE","OK")))</f>
        <v/>
      </c>
      <c r="T7" s="70">
        <f>IF($B7="","",COUNTIFS('MAINTENANCE LOG'!$C$8:$C$107,$B7,'MAINTENANCE LOG'!$Z$8:$Z$107,"Open")+COUNTIFS('MAINTENANCE LOG'!$C$8:$C$107,$B7,'MAINTENANCE LOG'!$Z$8:$Z$107,"In Progress"))</f>
        <v>1</v>
      </c>
      <c r="U7" s="71"/>
      <c r="V7" s="38" t="str">
        <f ca="1">IF($B7="","",IF(OR($L7="OVERDUE",$G7="Unavailable",$I7="Yes",$T7&gt;='SETUP &amp; TARGETS'!$C$36),"RED",IF(OR($L7="DUE",$T7&gt;='SETUP &amp; TARGETS'!$C$35),"AMBER","GREEN")))</f>
        <v>RED</v>
      </c>
    </row>
    <row r="8" spans="2:22" x14ac:dyDescent="0.3">
      <c r="B8" s="67" t="s">
        <v>59</v>
      </c>
      <c r="C8" s="61" t="s">
        <v>58</v>
      </c>
      <c r="D8" s="61" t="s">
        <v>232</v>
      </c>
      <c r="E8" s="61" t="s">
        <v>233</v>
      </c>
      <c r="F8" s="61" t="s">
        <v>16</v>
      </c>
      <c r="G8" s="61" t="s">
        <v>18</v>
      </c>
      <c r="H8" s="61"/>
      <c r="I8" s="61"/>
      <c r="J8" s="61"/>
      <c r="K8" s="61"/>
      <c r="L8" s="66" t="str">
        <f t="shared" ca="1" si="0"/>
        <v>UP TO DATE</v>
      </c>
      <c r="M8" s="68"/>
      <c r="N8" s="68"/>
      <c r="O8" s="69" t="str">
        <f>IF($M8="","",$M8+'SETUP &amp; TARGETS'!$C$33)</f>
        <v/>
      </c>
      <c r="P8" s="68"/>
      <c r="Q8" s="70" t="str">
        <f t="shared" ca="1" si="1"/>
        <v/>
      </c>
      <c r="R8" s="66" t="str">
        <f ca="1">IF($O8="","",IF(TODAY()&gt;$O8,"OVERDUE",IF($O8-TODAY()&lt;='SETUP &amp; TARGETS'!$C$34,"DUE","OK")))</f>
        <v/>
      </c>
      <c r="S8" s="66" t="str">
        <f>IF($P8="","",IF($Q8&lt;0,"OVERDUE",IF($Q8&lt;='SETUP &amp; TARGETS'!$C$34,"DUE","OK")))</f>
        <v/>
      </c>
      <c r="T8" s="70">
        <f>IF($B8="","",COUNTIFS('MAINTENANCE LOG'!$C$8:$C$107,$B8,'MAINTENANCE LOG'!$Z$8:$Z$107,"Open")+COUNTIFS('MAINTENANCE LOG'!$C$8:$C$107,$B8,'MAINTENANCE LOG'!$Z$8:$Z$107,"In Progress"))</f>
        <v>0</v>
      </c>
      <c r="U8" s="71"/>
      <c r="V8" s="38" t="str">
        <f ca="1">IF($B8="","",IF(OR($L8="OVERDUE",$G8="Unavailable",$I8="Yes",$T8&gt;='SETUP &amp; TARGETS'!$C$36),"RED",IF(OR($L8="DUE",$T8&gt;='SETUP &amp; TARGETS'!$C$35),"AMBER","GREEN")))</f>
        <v>GREEN</v>
      </c>
    </row>
    <row r="9" spans="2:22" x14ac:dyDescent="0.3">
      <c r="B9" s="67" t="s">
        <v>60</v>
      </c>
      <c r="C9" s="61" t="s">
        <v>58</v>
      </c>
      <c r="D9" s="61" t="s">
        <v>232</v>
      </c>
      <c r="E9" s="61" t="s">
        <v>233</v>
      </c>
      <c r="F9" s="61" t="s">
        <v>16</v>
      </c>
      <c r="G9" s="61" t="s">
        <v>18</v>
      </c>
      <c r="H9" s="61"/>
      <c r="I9" s="61"/>
      <c r="J9" s="61"/>
      <c r="K9" s="61"/>
      <c r="L9" s="66" t="str">
        <f t="shared" ca="1" si="0"/>
        <v>UP TO DATE</v>
      </c>
      <c r="M9" s="68"/>
      <c r="N9" s="68"/>
      <c r="O9" s="69" t="str">
        <f>IF($M9="","",$M9+'SETUP &amp; TARGETS'!$C$33)</f>
        <v/>
      </c>
      <c r="P9" s="68"/>
      <c r="Q9" s="70" t="str">
        <f t="shared" ca="1" si="1"/>
        <v/>
      </c>
      <c r="R9" s="66" t="str">
        <f ca="1">IF($O9="","",IF(TODAY()&gt;$O9,"OVERDUE",IF($O9-TODAY()&lt;='SETUP &amp; TARGETS'!$C$34,"DUE","OK")))</f>
        <v/>
      </c>
      <c r="S9" s="66" t="str">
        <f>IF($P9="","",IF($Q9&lt;0,"OVERDUE",IF($Q9&lt;='SETUP &amp; TARGETS'!$C$34,"DUE","OK")))</f>
        <v/>
      </c>
      <c r="T9" s="70">
        <f>IF($B9="","",COUNTIFS('MAINTENANCE LOG'!$C$8:$C$107,$B9,'MAINTENANCE LOG'!$Z$8:$Z$107,"Open")+COUNTIFS('MAINTENANCE LOG'!$C$8:$C$107,$B9,'MAINTENANCE LOG'!$Z$8:$Z$107,"In Progress"))</f>
        <v>0</v>
      </c>
      <c r="U9" s="71"/>
      <c r="V9" s="38" t="str">
        <f ca="1">IF($B9="","",IF(OR($L9="OVERDUE",$G9="Unavailable",$I9="Yes",$T9&gt;='SETUP &amp; TARGETS'!$C$36),"RED",IF(OR($L9="DUE",$T9&gt;='SETUP &amp; TARGETS'!$C$35),"AMBER","GREEN")))</f>
        <v>GREEN</v>
      </c>
    </row>
    <row r="10" spans="2:22" x14ac:dyDescent="0.3">
      <c r="B10" s="67" t="s">
        <v>61</v>
      </c>
      <c r="C10" s="61" t="s">
        <v>62</v>
      </c>
      <c r="D10" s="61" t="s">
        <v>232</v>
      </c>
      <c r="E10" s="61" t="s">
        <v>233</v>
      </c>
      <c r="F10" s="61" t="s">
        <v>16</v>
      </c>
      <c r="G10" s="61" t="s">
        <v>18</v>
      </c>
      <c r="H10" s="61"/>
      <c r="I10" s="61"/>
      <c r="J10" s="61"/>
      <c r="K10" s="61"/>
      <c r="L10" s="66" t="str">
        <f t="shared" ca="1" si="0"/>
        <v>UP TO DATE</v>
      </c>
      <c r="M10" s="68"/>
      <c r="N10" s="68"/>
      <c r="O10" s="69" t="str">
        <f>IF($M10="","",$M10+'SETUP &amp; TARGETS'!$C$33)</f>
        <v/>
      </c>
      <c r="P10" s="68"/>
      <c r="Q10" s="70" t="str">
        <f t="shared" ca="1" si="1"/>
        <v/>
      </c>
      <c r="R10" s="66" t="str">
        <f ca="1">IF($O10="","",IF(TODAY()&gt;$O10,"OVERDUE",IF($O10-TODAY()&lt;='SETUP &amp; TARGETS'!$C$34,"DUE","OK")))</f>
        <v/>
      </c>
      <c r="S10" s="66" t="str">
        <f>IF($P10="","",IF($Q10&lt;0,"OVERDUE",IF($Q10&lt;='SETUP &amp; TARGETS'!$C$34,"DUE","OK")))</f>
        <v/>
      </c>
      <c r="T10" s="70">
        <f>IF($B10="","",COUNTIFS('MAINTENANCE LOG'!$C$8:$C$107,$B10,'MAINTENANCE LOG'!$Z$8:$Z$107,"Open")+COUNTIFS('MAINTENANCE LOG'!$C$8:$C$107,$B10,'MAINTENANCE LOG'!$Z$8:$Z$107,"In Progress"))</f>
        <v>0</v>
      </c>
      <c r="U10" s="71"/>
      <c r="V10" s="38" t="str">
        <f ca="1">IF($B10="","",IF(OR($L10="OVERDUE",$G10="Unavailable",$I10="Yes",$T10&gt;='SETUP &amp; TARGETS'!$C$36),"RED",IF(OR($L10="DUE",$T10&gt;='SETUP &amp; TARGETS'!$C$35),"AMBER","GREEN")))</f>
        <v>GREEN</v>
      </c>
    </row>
    <row r="11" spans="2:22" x14ac:dyDescent="0.3">
      <c r="B11" s="67" t="s">
        <v>63</v>
      </c>
      <c r="C11" s="61" t="s">
        <v>64</v>
      </c>
      <c r="D11" s="61" t="s">
        <v>232</v>
      </c>
      <c r="E11" s="61" t="s">
        <v>233</v>
      </c>
      <c r="F11" s="61" t="s">
        <v>16</v>
      </c>
      <c r="G11" s="61" t="s">
        <v>18</v>
      </c>
      <c r="H11" s="61"/>
      <c r="I11" s="61"/>
      <c r="J11" s="61"/>
      <c r="K11" s="61"/>
      <c r="L11" s="66" t="str">
        <f t="shared" ca="1" si="0"/>
        <v>UP TO DATE</v>
      </c>
      <c r="M11" s="68"/>
      <c r="N11" s="68"/>
      <c r="O11" s="69" t="str">
        <f>IF($M11="","",$M11+'SETUP &amp; TARGETS'!$C$33)</f>
        <v/>
      </c>
      <c r="P11" s="68"/>
      <c r="Q11" s="70" t="str">
        <f t="shared" ca="1" si="1"/>
        <v/>
      </c>
      <c r="R11" s="66" t="str">
        <f ca="1">IF($O11="","",IF(TODAY()&gt;$O11,"OVERDUE",IF($O11-TODAY()&lt;='SETUP &amp; TARGETS'!$C$34,"DUE","OK")))</f>
        <v/>
      </c>
      <c r="S11" s="66" t="str">
        <f>IF($P11="","",IF($Q11&lt;0,"OVERDUE",IF($Q11&lt;='SETUP &amp; TARGETS'!$C$34,"DUE","OK")))</f>
        <v/>
      </c>
      <c r="T11" s="70">
        <f>IF($B11="","",COUNTIFS('MAINTENANCE LOG'!$C$8:$C$107,$B11,'MAINTENANCE LOG'!$Z$8:$Z$107,"Open")+COUNTIFS('MAINTENANCE LOG'!$C$8:$C$107,$B11,'MAINTENANCE LOG'!$Z$8:$Z$107,"In Progress"))</f>
        <v>0</v>
      </c>
      <c r="U11" s="71"/>
      <c r="V11" s="38" t="str">
        <f ca="1">IF($B11="","",IF(OR($L11="OVERDUE",$G11="Unavailable",$I11="Yes",$T11&gt;='SETUP &amp; TARGETS'!$C$36),"RED",IF(OR($L11="DUE",$T11&gt;='SETUP &amp; TARGETS'!$C$35),"AMBER","GREEN")))</f>
        <v>GREEN</v>
      </c>
    </row>
    <row r="12" spans="2:22" x14ac:dyDescent="0.3">
      <c r="B12" s="67" t="s">
        <v>234</v>
      </c>
      <c r="C12" s="61" t="s">
        <v>235</v>
      </c>
      <c r="D12" s="61"/>
      <c r="E12" s="61"/>
      <c r="F12" s="61" t="s">
        <v>16</v>
      </c>
      <c r="G12" s="61" t="s">
        <v>18</v>
      </c>
      <c r="H12" s="61"/>
      <c r="I12" s="61"/>
      <c r="J12" s="61"/>
      <c r="K12" s="61"/>
      <c r="L12" s="66" t="str">
        <f t="shared" ca="1" si="0"/>
        <v>UP TO DATE</v>
      </c>
      <c r="M12" s="68"/>
      <c r="N12" s="68"/>
      <c r="O12" s="69" t="str">
        <f>IF($M12="","",$M12+'SETUP &amp; TARGETS'!$C$33)</f>
        <v/>
      </c>
      <c r="P12" s="68"/>
      <c r="Q12" s="70" t="str">
        <f t="shared" ca="1" si="1"/>
        <v/>
      </c>
      <c r="R12" s="66" t="str">
        <f ca="1">IF($O12="","",IF(TODAY()&gt;$O12,"OVERDUE",IF($O12-TODAY()&lt;='SETUP &amp; TARGETS'!$C$34,"DUE","OK")))</f>
        <v/>
      </c>
      <c r="S12" s="66" t="str">
        <f>IF($P12="","",IF($Q12&lt;0,"OVERDUE",IF($Q12&lt;='SETUP &amp; TARGETS'!$C$34,"DUE","OK")))</f>
        <v/>
      </c>
      <c r="T12" s="70">
        <f>IF($B12="","",COUNTIFS('MAINTENANCE LOG'!$C$8:$C$107,$B12,'MAINTENANCE LOG'!$Z$8:$Z$107,"Open")+COUNTIFS('MAINTENANCE LOG'!$C$8:$C$107,$B12,'MAINTENANCE LOG'!$Z$8:$Z$107,"In Progress"))</f>
        <v>0</v>
      </c>
      <c r="U12" s="71"/>
      <c r="V12" s="38" t="str">
        <f ca="1">IF($B12="","",IF(OR($L12="OVERDUE",$G12="Unavailable",$I12="Yes",$T12&gt;='SETUP &amp; TARGETS'!$C$36),"RED",IF(OR($L12="DUE",$T12&gt;='SETUP &amp; TARGETS'!$C$35),"AMBER","GREEN")))</f>
        <v>GREEN</v>
      </c>
    </row>
    <row r="13" spans="2:22" x14ac:dyDescent="0.3">
      <c r="B13" s="67" t="s">
        <v>236</v>
      </c>
      <c r="C13" s="61" t="s">
        <v>237</v>
      </c>
      <c r="D13" s="61"/>
      <c r="E13" s="61"/>
      <c r="F13" s="61" t="s">
        <v>16</v>
      </c>
      <c r="G13" s="61" t="s">
        <v>18</v>
      </c>
      <c r="H13" s="61"/>
      <c r="I13" s="61"/>
      <c r="J13" s="61"/>
      <c r="K13" s="61"/>
      <c r="L13" s="66" t="str">
        <f t="shared" ca="1" si="0"/>
        <v>UP TO DATE</v>
      </c>
      <c r="M13" s="68"/>
      <c r="N13" s="68"/>
      <c r="O13" s="69" t="str">
        <f>IF($M13="","",$M13+'SETUP &amp; TARGETS'!$C$33)</f>
        <v/>
      </c>
      <c r="P13" s="68"/>
      <c r="Q13" s="70" t="str">
        <f t="shared" ca="1" si="1"/>
        <v/>
      </c>
      <c r="R13" s="66" t="str">
        <f ca="1">IF($O13="","",IF(TODAY()&gt;$O13,"OVERDUE",IF($O13-TODAY()&lt;='SETUP &amp; TARGETS'!$C$34,"DUE","OK")))</f>
        <v/>
      </c>
      <c r="S13" s="66" t="str">
        <f>IF($P13="","",IF($Q13&lt;0,"OVERDUE",IF($Q13&lt;='SETUP &amp; TARGETS'!$C$34,"DUE","OK")))</f>
        <v/>
      </c>
      <c r="T13" s="70">
        <f>IF($B13="","",COUNTIFS('MAINTENANCE LOG'!$C$8:$C$107,$B13,'MAINTENANCE LOG'!$Z$8:$Z$107,"Open")+COUNTIFS('MAINTENANCE LOG'!$C$8:$C$107,$B13,'MAINTENANCE LOG'!$Z$8:$Z$107,"In Progress"))</f>
        <v>0</v>
      </c>
      <c r="U13" s="71"/>
      <c r="V13" s="38" t="str">
        <f ca="1">IF($B13="","",IF(OR($L13="OVERDUE",$G13="Unavailable",$I13="Yes",$T13&gt;='SETUP &amp; TARGETS'!$C$36),"RED",IF(OR($L13="DUE",$T13&gt;='SETUP &amp; TARGETS'!$C$35),"AMBER","GREEN")))</f>
        <v>GREEN</v>
      </c>
    </row>
    <row r="14" spans="2:22" x14ac:dyDescent="0.3">
      <c r="B14" s="67" t="s">
        <v>238</v>
      </c>
      <c r="C14" s="61" t="s">
        <v>547</v>
      </c>
      <c r="D14" s="61" t="s">
        <v>239</v>
      </c>
      <c r="E14" s="61"/>
      <c r="F14" s="61" t="s">
        <v>17</v>
      </c>
      <c r="G14" s="61" t="s">
        <v>19</v>
      </c>
      <c r="H14" s="61"/>
      <c r="I14" s="61"/>
      <c r="J14" s="61"/>
      <c r="K14" s="61"/>
      <c r="L14" s="66" t="str">
        <f t="shared" ca="1" si="0"/>
        <v>UP TO DATE</v>
      </c>
      <c r="M14" s="68"/>
      <c r="N14" s="68"/>
      <c r="O14" s="69" t="str">
        <f>IF($M14="","",$M14+'SETUP &amp; TARGETS'!$C$33)</f>
        <v/>
      </c>
      <c r="P14" s="68"/>
      <c r="Q14" s="70" t="str">
        <f t="shared" ca="1" si="1"/>
        <v/>
      </c>
      <c r="R14" s="66" t="str">
        <f ca="1">IF($O14="","",IF(TODAY()&gt;$O14,"OVERDUE",IF($O14-TODAY()&lt;='SETUP &amp; TARGETS'!$C$34,"DUE","OK")))</f>
        <v/>
      </c>
      <c r="S14" s="66" t="str">
        <f>IF($P14="","",IF($Q14&lt;0,"OVERDUE",IF($Q14&lt;='SETUP &amp; TARGETS'!$C$34,"DUE","OK")))</f>
        <v/>
      </c>
      <c r="T14" s="70">
        <f>IF($B14="","",COUNTIFS('MAINTENANCE LOG'!$C$8:$C$107,$B14,'MAINTENANCE LOG'!$Z$8:$Z$107,"Open")+COUNTIFS('MAINTENANCE LOG'!$C$8:$C$107,$B14,'MAINTENANCE LOG'!$Z$8:$Z$107,"In Progress"))</f>
        <v>0</v>
      </c>
      <c r="U14" s="71"/>
      <c r="V14" s="38" t="str">
        <f ca="1">IF($B14="","",IF(OR($L14="OVERDUE",$G14="Unavailable",$I14="Yes",$T14&gt;='SETUP &amp; TARGETS'!$C$36),"RED",IF(OR($L14="DUE",$T14&gt;='SETUP &amp; TARGETS'!$C$35),"AMBER","GREEN")))</f>
        <v>RED</v>
      </c>
    </row>
    <row r="15" spans="2:22" x14ac:dyDescent="0.3">
      <c r="B15" s="67" t="s">
        <v>240</v>
      </c>
      <c r="C15" s="61" t="s">
        <v>241</v>
      </c>
      <c r="D15" s="61" t="s">
        <v>242</v>
      </c>
      <c r="E15" s="61"/>
      <c r="F15" s="61" t="s">
        <v>16</v>
      </c>
      <c r="G15" s="61" t="s">
        <v>18</v>
      </c>
      <c r="H15" s="61"/>
      <c r="I15" s="61"/>
      <c r="J15" s="61"/>
      <c r="K15" s="61"/>
      <c r="L15" s="66" t="str">
        <f t="shared" ca="1" si="0"/>
        <v>UP TO DATE</v>
      </c>
      <c r="M15" s="68"/>
      <c r="N15" s="68"/>
      <c r="O15" s="69" t="str">
        <f>IF($M15="","",$M15+'SETUP &amp; TARGETS'!$C$33)</f>
        <v/>
      </c>
      <c r="P15" s="68"/>
      <c r="Q15" s="70" t="str">
        <f t="shared" ca="1" si="1"/>
        <v/>
      </c>
      <c r="R15" s="66" t="str">
        <f ca="1">IF($O15="","",IF(TODAY()&gt;$O15,"OVERDUE",IF($O15-TODAY()&lt;='SETUP &amp; TARGETS'!$C$34,"DUE","OK")))</f>
        <v/>
      </c>
      <c r="S15" s="66" t="str">
        <f>IF($P15="","",IF($Q15&lt;0,"OVERDUE",IF($Q15&lt;='SETUP &amp; TARGETS'!$C$34,"DUE","OK")))</f>
        <v/>
      </c>
      <c r="T15" s="70">
        <f>IF($B15="","",COUNTIFS('MAINTENANCE LOG'!$C$8:$C$107,$B15,'MAINTENANCE LOG'!$Z$8:$Z$107,"Open")+COUNTIFS('MAINTENANCE LOG'!$C$8:$C$107,$B15,'MAINTENANCE LOG'!$Z$8:$Z$107,"In Progress"))</f>
        <v>0</v>
      </c>
      <c r="U15" s="71"/>
      <c r="V15" s="38" t="str">
        <f ca="1">IF($B15="","",IF(OR($L15="OVERDUE",$G15="Unavailable",$I15="Yes",$T15&gt;='SETUP &amp; TARGETS'!$C$36),"RED",IF(OR($L15="DUE",$T15&gt;='SETUP &amp; TARGETS'!$C$35),"AMBER","GREEN")))</f>
        <v>GREEN</v>
      </c>
    </row>
    <row r="16" spans="2:22" x14ac:dyDescent="0.3">
      <c r="B16" s="67" t="s">
        <v>243</v>
      </c>
      <c r="C16" s="61" t="s">
        <v>241</v>
      </c>
      <c r="D16" s="61" t="s">
        <v>239</v>
      </c>
      <c r="E16" s="61"/>
      <c r="F16" s="61" t="s">
        <v>17</v>
      </c>
      <c r="G16" s="61" t="s">
        <v>19</v>
      </c>
      <c r="H16" s="61"/>
      <c r="I16" s="61"/>
      <c r="J16" s="61"/>
      <c r="K16" s="61"/>
      <c r="L16" s="66" t="str">
        <f t="shared" ca="1" si="0"/>
        <v>UP TO DATE</v>
      </c>
      <c r="M16" s="68"/>
      <c r="N16" s="68"/>
      <c r="O16" s="69" t="str">
        <f>IF($M16="","",$M16+'SETUP &amp; TARGETS'!$C$33)</f>
        <v/>
      </c>
      <c r="P16" s="68"/>
      <c r="Q16" s="70" t="str">
        <f t="shared" ca="1" si="1"/>
        <v/>
      </c>
      <c r="R16" s="66" t="str">
        <f ca="1">IF($O16="","",IF(TODAY()&gt;$O16,"OVERDUE",IF($O16-TODAY()&lt;='SETUP &amp; TARGETS'!$C$34,"DUE","OK")))</f>
        <v/>
      </c>
      <c r="S16" s="66" t="str">
        <f>IF($P16="","",IF($Q16&lt;0,"OVERDUE",IF($Q16&lt;='SETUP &amp; TARGETS'!$C$34,"DUE","OK")))</f>
        <v/>
      </c>
      <c r="T16" s="70">
        <f>IF($B16="","",COUNTIFS('MAINTENANCE LOG'!$C$8:$C$107,$B16,'MAINTENANCE LOG'!$Z$8:$Z$107,"Open")+COUNTIFS('MAINTENANCE LOG'!$C$8:$C$107,$B16,'MAINTENANCE LOG'!$Z$8:$Z$107,"In Progress"))</f>
        <v>0</v>
      </c>
      <c r="U16" s="71"/>
      <c r="V16" s="38" t="str">
        <f ca="1">IF($B16="","",IF(OR($L16="OVERDUE",$G16="Unavailable",$I16="Yes",$T16&gt;='SETUP &amp; TARGETS'!$C$36),"RED",IF(OR($L16="DUE",$T16&gt;='SETUP &amp; TARGETS'!$C$35),"AMBER","GREEN")))</f>
        <v>RED</v>
      </c>
    </row>
    <row r="17" spans="2:22" x14ac:dyDescent="0.3">
      <c r="B17" s="67"/>
      <c r="C17" s="61"/>
      <c r="D17" s="61"/>
      <c r="E17" s="61"/>
      <c r="F17" s="61"/>
      <c r="G17" s="61"/>
      <c r="H17" s="61"/>
      <c r="I17" s="61"/>
      <c r="J17" s="61"/>
      <c r="K17" s="61"/>
      <c r="L17" s="66" t="str">
        <f t="shared" si="0"/>
        <v/>
      </c>
      <c r="M17" s="68"/>
      <c r="N17" s="68"/>
      <c r="O17" s="69" t="str">
        <f>IF($M17="","",$M17+'SETUP &amp; TARGETS'!$C$33)</f>
        <v/>
      </c>
      <c r="P17" s="68"/>
      <c r="Q17" s="70" t="str">
        <f t="shared" ca="1" si="1"/>
        <v/>
      </c>
      <c r="R17" s="66" t="str">
        <f ca="1">IF($O17="","",IF(TODAY()&gt;$O17,"OVERDUE",IF($O17-TODAY()&lt;='SETUP &amp; TARGETS'!$C$34,"DUE","OK")))</f>
        <v/>
      </c>
      <c r="S17" s="66" t="str">
        <f>IF($P17="","",IF($Q17&lt;0,"OVERDUE",IF($Q17&lt;='SETUP &amp; TARGETS'!$C$34,"DUE","OK")))</f>
        <v/>
      </c>
      <c r="T17" s="70" t="str">
        <f>IF($B17="","",COUNTIFS('MAINTENANCE LOG'!$C$8:$C$107,$B17,'MAINTENANCE LOG'!$Z$8:$Z$107,"Open")+COUNTIFS('MAINTENANCE LOG'!$C$8:$C$107,$B17,'MAINTENANCE LOG'!$Z$8:$Z$107,"In Progress"))</f>
        <v/>
      </c>
      <c r="U17" s="71"/>
      <c r="V17" s="38" t="str">
        <f>IF($B17="","",IF(OR($L17="OVERDUE",$G17="Unavailable",$I17="Yes",$T17&gt;='SETUP &amp; TARGETS'!$C$36),"RED",IF(OR($L17="DUE",$T17&gt;='SETUP &amp; TARGETS'!$C$35),"AMBER","GREEN")))</f>
        <v/>
      </c>
    </row>
    <row r="18" spans="2:22" x14ac:dyDescent="0.3">
      <c r="B18" s="67"/>
      <c r="C18" s="61"/>
      <c r="D18" s="61"/>
      <c r="E18" s="61"/>
      <c r="F18" s="61"/>
      <c r="G18" s="61"/>
      <c r="H18" s="61"/>
      <c r="I18" s="61"/>
      <c r="J18" s="61"/>
      <c r="K18" s="61"/>
      <c r="L18" s="66" t="str">
        <f t="shared" si="0"/>
        <v/>
      </c>
      <c r="M18" s="68"/>
      <c r="N18" s="68"/>
      <c r="O18" s="69" t="str">
        <f>IF($M18="","",$M18+'SETUP &amp; TARGETS'!$C$33)</f>
        <v/>
      </c>
      <c r="P18" s="68"/>
      <c r="Q18" s="70" t="str">
        <f t="shared" ca="1" si="1"/>
        <v/>
      </c>
      <c r="R18" s="66" t="str">
        <f ca="1">IF($O18="","",IF(TODAY()&gt;$O18,"OVERDUE",IF($O18-TODAY()&lt;='SETUP &amp; TARGETS'!$C$34,"DUE","OK")))</f>
        <v/>
      </c>
      <c r="S18" s="66" t="str">
        <f>IF($P18="","",IF($Q18&lt;0,"OVERDUE",IF($Q18&lt;='SETUP &amp; TARGETS'!$C$34,"DUE","OK")))</f>
        <v/>
      </c>
      <c r="T18" s="70" t="str">
        <f>IF($B18="","",COUNTIFS('MAINTENANCE LOG'!$C$8:$C$107,$B18,'MAINTENANCE LOG'!$Z$8:$Z$107,"Open")+COUNTIFS('MAINTENANCE LOG'!$C$8:$C$107,$B18,'MAINTENANCE LOG'!$Z$8:$Z$107,"In Progress"))</f>
        <v/>
      </c>
      <c r="U18" s="71"/>
      <c r="V18" s="38" t="str">
        <f>IF($B18="","",IF(OR($L18="OVERDUE",$G18="Unavailable",$I18="Yes",$T18&gt;='SETUP &amp; TARGETS'!$C$36),"RED",IF(OR($L18="DUE",$T18&gt;='SETUP &amp; TARGETS'!$C$35),"AMBER","GREEN")))</f>
        <v/>
      </c>
    </row>
    <row r="19" spans="2:22" x14ac:dyDescent="0.3">
      <c r="B19" s="67"/>
      <c r="C19" s="61"/>
      <c r="D19" s="61"/>
      <c r="E19" s="61"/>
      <c r="F19" s="61"/>
      <c r="G19" s="61"/>
      <c r="H19" s="61"/>
      <c r="I19" s="61"/>
      <c r="J19" s="61"/>
      <c r="K19" s="61"/>
      <c r="L19" s="66" t="str">
        <f t="shared" si="0"/>
        <v/>
      </c>
      <c r="M19" s="68"/>
      <c r="N19" s="68"/>
      <c r="O19" s="69" t="str">
        <f>IF($M19="","",$M19+'SETUP &amp; TARGETS'!$C$33)</f>
        <v/>
      </c>
      <c r="P19" s="68"/>
      <c r="Q19" s="70" t="str">
        <f t="shared" ca="1" si="1"/>
        <v/>
      </c>
      <c r="R19" s="66" t="str">
        <f ca="1">IF($O19="","",IF(TODAY()&gt;$O19,"OVERDUE",IF($O19-TODAY()&lt;='SETUP &amp; TARGETS'!$C$34,"DUE","OK")))</f>
        <v/>
      </c>
      <c r="S19" s="66" t="str">
        <f>IF($P19="","",IF($Q19&lt;0,"OVERDUE",IF($Q19&lt;='SETUP &amp; TARGETS'!$C$34,"DUE","OK")))</f>
        <v/>
      </c>
      <c r="T19" s="70" t="str">
        <f>IF($B19="","",COUNTIFS('MAINTENANCE LOG'!$C$8:$C$107,$B19,'MAINTENANCE LOG'!$Z$8:$Z$107,"Open")+COUNTIFS('MAINTENANCE LOG'!$C$8:$C$107,$B19,'MAINTENANCE LOG'!$Z$8:$Z$107,"In Progress"))</f>
        <v/>
      </c>
      <c r="U19" s="71"/>
      <c r="V19" s="38" t="str">
        <f>IF($B19="","",IF(OR($L19="OVERDUE",$G19="Unavailable",$I19="Yes",$T19&gt;='SETUP &amp; TARGETS'!$C$36),"RED",IF(OR($L19="DUE",$T19&gt;='SETUP &amp; TARGETS'!$C$35),"AMBER","GREEN")))</f>
        <v/>
      </c>
    </row>
    <row r="20" spans="2:22" x14ac:dyDescent="0.3">
      <c r="B20" s="67"/>
      <c r="C20" s="61"/>
      <c r="D20" s="61"/>
      <c r="E20" s="61"/>
      <c r="F20" s="61"/>
      <c r="G20" s="61"/>
      <c r="H20" s="61"/>
      <c r="I20" s="61"/>
      <c r="J20" s="61"/>
      <c r="K20" s="61"/>
      <c r="L20" s="66" t="str">
        <f t="shared" si="0"/>
        <v/>
      </c>
      <c r="M20" s="68"/>
      <c r="N20" s="68"/>
      <c r="O20" s="69" t="str">
        <f>IF($M20="","",$M20+'SETUP &amp; TARGETS'!$C$33)</f>
        <v/>
      </c>
      <c r="P20" s="68"/>
      <c r="Q20" s="70" t="str">
        <f t="shared" ca="1" si="1"/>
        <v/>
      </c>
      <c r="R20" s="66" t="str">
        <f ca="1">IF($O20="","",IF(TODAY()&gt;$O20,"OVERDUE",IF($O20-TODAY()&lt;='SETUP &amp; TARGETS'!$C$34,"DUE","OK")))</f>
        <v/>
      </c>
      <c r="S20" s="66" t="str">
        <f>IF($P20="","",IF($Q20&lt;0,"OVERDUE",IF($Q20&lt;='SETUP &amp; TARGETS'!$C$34,"DUE","OK")))</f>
        <v/>
      </c>
      <c r="T20" s="70" t="str">
        <f>IF($B20="","",COUNTIFS('MAINTENANCE LOG'!$C$8:$C$107,$B20,'MAINTENANCE LOG'!$Z$8:$Z$107,"Open")+COUNTIFS('MAINTENANCE LOG'!$C$8:$C$107,$B20,'MAINTENANCE LOG'!$Z$8:$Z$107,"In Progress"))</f>
        <v/>
      </c>
      <c r="U20" s="71"/>
      <c r="V20" s="38" t="str">
        <f>IF($B20="","",IF(OR($L20="OVERDUE",$G20="Unavailable",$I20="Yes",$T20&gt;='SETUP &amp; TARGETS'!$C$36),"RED",IF(OR($L20="DUE",$T20&gt;='SETUP &amp; TARGETS'!$C$35),"AMBER","GREEN")))</f>
        <v/>
      </c>
    </row>
    <row r="21" spans="2:22" x14ac:dyDescent="0.3">
      <c r="B21" s="67"/>
      <c r="C21" s="61"/>
      <c r="D21" s="61"/>
      <c r="E21" s="61"/>
      <c r="F21" s="61"/>
      <c r="G21" s="61"/>
      <c r="H21" s="61"/>
      <c r="I21" s="61"/>
      <c r="J21" s="61"/>
      <c r="K21" s="61"/>
      <c r="L21" s="66" t="str">
        <f t="shared" si="0"/>
        <v/>
      </c>
      <c r="M21" s="68"/>
      <c r="N21" s="68"/>
      <c r="O21" s="69" t="str">
        <f>IF($M21="","",$M21+'SETUP &amp; TARGETS'!$C$33)</f>
        <v/>
      </c>
      <c r="P21" s="68"/>
      <c r="Q21" s="70" t="str">
        <f t="shared" ca="1" si="1"/>
        <v/>
      </c>
      <c r="R21" s="66" t="str">
        <f ca="1">IF($O21="","",IF(TODAY()&gt;$O21,"OVERDUE",IF($O21-TODAY()&lt;='SETUP &amp; TARGETS'!$C$34,"DUE","OK")))</f>
        <v/>
      </c>
      <c r="S21" s="66" t="str">
        <f>IF($P21="","",IF($Q21&lt;0,"OVERDUE",IF($Q21&lt;='SETUP &amp; TARGETS'!$C$34,"DUE","OK")))</f>
        <v/>
      </c>
      <c r="T21" s="70" t="str">
        <f>IF($B21="","",COUNTIFS('MAINTENANCE LOG'!$C$8:$C$107,$B21,'MAINTENANCE LOG'!$Z$8:$Z$107,"Open")+COUNTIFS('MAINTENANCE LOG'!$C$8:$C$107,$B21,'MAINTENANCE LOG'!$Z$8:$Z$107,"In Progress"))</f>
        <v/>
      </c>
      <c r="U21" s="71"/>
      <c r="V21" s="38" t="str">
        <f>IF($B21="","",IF(OR($L21="OVERDUE",$G21="Unavailable",$I21="Yes",$T21&gt;='SETUP &amp; TARGETS'!$C$36),"RED",IF(OR($L21="DUE",$T21&gt;='SETUP &amp; TARGETS'!$C$35),"AMBER","GREEN")))</f>
        <v/>
      </c>
    </row>
    <row r="23" spans="2:22" x14ac:dyDescent="0.3">
      <c r="B23" s="30" t="s">
        <v>244</v>
      </c>
    </row>
    <row r="24" spans="2:22" x14ac:dyDescent="0.3">
      <c r="B24" s="103" t="s">
        <v>245</v>
      </c>
      <c r="C24" s="103"/>
      <c r="D24" s="103"/>
    </row>
    <row r="25" spans="2:22" x14ac:dyDescent="0.3">
      <c r="B25" s="103" t="s">
        <v>16</v>
      </c>
      <c r="C25" s="103"/>
      <c r="D25" s="103"/>
    </row>
    <row r="26" spans="2:22" x14ac:dyDescent="0.3">
      <c r="B26" s="103" t="s">
        <v>17</v>
      </c>
      <c r="C26" s="103"/>
      <c r="D26" s="103"/>
    </row>
    <row r="27" spans="2:22" x14ac:dyDescent="0.3">
      <c r="B27" s="103" t="s">
        <v>18</v>
      </c>
      <c r="C27" s="103"/>
      <c r="D27" s="103"/>
    </row>
    <row r="28" spans="2:22" x14ac:dyDescent="0.3">
      <c r="B28" s="103" t="s">
        <v>19</v>
      </c>
      <c r="C28" s="103"/>
      <c r="D28" s="103"/>
    </row>
    <row r="29" spans="2:22" x14ac:dyDescent="0.3">
      <c r="B29" s="103" t="s">
        <v>246</v>
      </c>
      <c r="C29" s="103"/>
      <c r="D29" s="103"/>
    </row>
    <row r="30" spans="2:22" x14ac:dyDescent="0.3">
      <c r="B30" s="103" t="s">
        <v>247</v>
      </c>
      <c r="C30" s="103"/>
      <c r="D30" s="103"/>
    </row>
    <row r="31" spans="2:22" x14ac:dyDescent="0.3">
      <c r="B31" s="103" t="s">
        <v>248</v>
      </c>
      <c r="C31" s="103"/>
      <c r="D31" s="103"/>
    </row>
    <row r="33" spans="2:2" x14ac:dyDescent="0.3">
      <c r="B33" s="31" t="s">
        <v>249</v>
      </c>
    </row>
  </sheetData>
  <mergeCells count="8">
    <mergeCell ref="B29:D29"/>
    <mergeCell ref="B30:D30"/>
    <mergeCell ref="B31:D31"/>
    <mergeCell ref="B24:D24"/>
    <mergeCell ref="B25:D25"/>
    <mergeCell ref="B26:D26"/>
    <mergeCell ref="B27:D27"/>
    <mergeCell ref="B28:D28"/>
  </mergeCells>
  <conditionalFormatting sqref="F7:F21">
    <cfRule type="cellIs" dxfId="14" priority="12" operator="equal">
      <formula>"Inactive"</formula>
    </cfRule>
  </conditionalFormatting>
  <conditionalFormatting sqref="G7:G21">
    <cfRule type="cellIs" dxfId="13" priority="11" operator="equal">
      <formula>"Unavailable"</formula>
    </cfRule>
  </conditionalFormatting>
  <conditionalFormatting sqref="L7:L21">
    <cfRule type="cellIs" dxfId="12" priority="5" operator="equal">
      <formula>"UP TO DATE"</formula>
    </cfRule>
    <cfRule type="cellIs" dxfId="11" priority="6" operator="equal">
      <formula>"DUE"</formula>
    </cfRule>
    <cfRule type="cellIs" dxfId="10" priority="7" operator="equal">
      <formula>"OVERDUE"</formula>
    </cfRule>
  </conditionalFormatting>
  <conditionalFormatting sqref="R7:S21">
    <cfRule type="cellIs" dxfId="9" priority="8" operator="equal">
      <formula>"OK"</formula>
    </cfRule>
    <cfRule type="cellIs" dxfId="8" priority="9" operator="equal">
      <formula>"DUE"</formula>
    </cfRule>
    <cfRule type="cellIs" dxfId="7" priority="10" operator="equal">
      <formula>"OVERDUE"</formula>
    </cfRule>
  </conditionalFormatting>
  <conditionalFormatting sqref="V7:V21">
    <cfRule type="cellIs" dxfId="6" priority="2" operator="equal">
      <formula>"GREEN"</formula>
    </cfRule>
    <cfRule type="cellIs" dxfId="5" priority="3" operator="equal">
      <formula>"AMBER"</formula>
    </cfRule>
    <cfRule type="cellIs" dxfId="4" priority="4" operator="equal">
      <formula>"RED"</formula>
    </cfRule>
  </conditionalFormatting>
  <dataValidations count="5">
    <dataValidation type="list" allowBlank="1" sqref="F7:F21" xr:uid="{00000000-0002-0000-0A00-000000000000}">
      <formula1>"Active,Inactive"</formula1>
      <formula2>0</formula2>
    </dataValidation>
    <dataValidation type="list" allowBlank="1" sqref="G7:G21" xr:uid="{00000000-0002-0000-0A00-000001000000}">
      <formula1>"Available,Unavailable"</formula1>
      <formula2>0</formula2>
    </dataValidation>
    <dataValidation type="list" allowBlank="1" sqref="H7:H21" xr:uid="{00000000-0002-0000-0A00-000002000000}">
      <formula1>"Operating,Standing,Parked,Under Repair"</formula1>
      <formula2>0</formula2>
    </dataValidation>
    <dataValidation type="list" allowBlank="1" sqref="I7:I21" xr:uid="{00000000-0002-0000-0A00-000003000000}">
      <formula1>"Yes,No"</formula1>
      <formula2>0</formula2>
    </dataValidation>
    <dataValidation type="list" allowBlank="1" sqref="K7:K21" xr:uid="{00000000-0002-0000-0A00-000004000000}">
      <formula1>"Engine,Hydraulic,Electrical,Transmission,Undercarriage,Tyres,Brakes,Cooling,Body &amp; Structure,Operator Damage,Other"</formula1>
      <formula2>0</formula2>
    </dataValidation>
  </dataValidation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E49"/>
  <sheetViews>
    <sheetView showGridLines="0" tabSelected="1" zoomScaleNormal="100" workbookViewId="0">
      <selection activeCell="B47" sqref="B47"/>
    </sheetView>
  </sheetViews>
  <sheetFormatPr defaultColWidth="8.6640625" defaultRowHeight="14.4" x14ac:dyDescent="0.3"/>
  <cols>
    <col min="2" max="2" width="12.77734375" customWidth="1"/>
    <col min="3" max="3" width="69.109375" customWidth="1"/>
    <col min="4" max="4" width="52" customWidth="1"/>
    <col min="5" max="5" width="16" customWidth="1"/>
    <col min="6" max="6" width="12" customWidth="1"/>
  </cols>
  <sheetData>
    <row r="2" spans="2:5" ht="18" customHeight="1" x14ac:dyDescent="0.35">
      <c r="B2" s="13" t="s">
        <v>380</v>
      </c>
    </row>
    <row r="3" spans="2:5" ht="14.25" customHeight="1" x14ac:dyDescent="0.3">
      <c r="B3" s="14" t="s">
        <v>193</v>
      </c>
    </row>
    <row r="5" spans="2:5" ht="24" customHeight="1" x14ac:dyDescent="0.3">
      <c r="B5" s="84" t="s">
        <v>337</v>
      </c>
      <c r="C5" s="84" t="s">
        <v>338</v>
      </c>
      <c r="D5" s="84" t="s">
        <v>254</v>
      </c>
      <c r="E5" s="84" t="s">
        <v>381</v>
      </c>
    </row>
    <row r="6" spans="2:5" ht="14.25" customHeight="1" x14ac:dyDescent="0.3">
      <c r="B6" s="85" t="s">
        <v>382</v>
      </c>
      <c r="C6" s="86" t="s">
        <v>383</v>
      </c>
      <c r="D6" s="86" t="s">
        <v>384</v>
      </c>
      <c r="E6" s="86" t="s">
        <v>385</v>
      </c>
    </row>
    <row r="7" spans="2:5" ht="14.25" customHeight="1" x14ac:dyDescent="0.3">
      <c r="B7" s="85" t="s">
        <v>181</v>
      </c>
      <c r="C7" s="86" t="s">
        <v>386</v>
      </c>
      <c r="D7" s="86" t="s">
        <v>387</v>
      </c>
      <c r="E7" s="86" t="s">
        <v>388</v>
      </c>
    </row>
    <row r="8" spans="2:5" ht="14.25" customHeight="1" x14ac:dyDescent="0.3">
      <c r="B8" s="85" t="s">
        <v>389</v>
      </c>
      <c r="C8" s="86" t="s">
        <v>390</v>
      </c>
      <c r="D8" s="86" t="s">
        <v>387</v>
      </c>
      <c r="E8" s="86" t="s">
        <v>388</v>
      </c>
    </row>
    <row r="9" spans="2:5" ht="14.25" customHeight="1" x14ac:dyDescent="0.3">
      <c r="B9" s="85" t="s">
        <v>391</v>
      </c>
      <c r="C9" s="86" t="s">
        <v>392</v>
      </c>
      <c r="D9" s="86" t="s">
        <v>387</v>
      </c>
      <c r="E9" s="86" t="s">
        <v>388</v>
      </c>
    </row>
    <row r="10" spans="2:5" ht="14.25" customHeight="1" x14ac:dyDescent="0.3">
      <c r="B10" s="85" t="s">
        <v>393</v>
      </c>
      <c r="C10" s="86" t="s">
        <v>394</v>
      </c>
      <c r="D10" s="86" t="s">
        <v>387</v>
      </c>
      <c r="E10" s="86" t="s">
        <v>388</v>
      </c>
    </row>
    <row r="11" spans="2:5" ht="14.25" customHeight="1" x14ac:dyDescent="0.3">
      <c r="B11" s="85" t="s">
        <v>185</v>
      </c>
      <c r="C11" s="86" t="s">
        <v>395</v>
      </c>
      <c r="D11" s="86" t="s">
        <v>387</v>
      </c>
      <c r="E11" s="86" t="s">
        <v>388</v>
      </c>
    </row>
    <row r="12" spans="2:5" ht="14.25" customHeight="1" x14ac:dyDescent="0.3">
      <c r="B12" s="85" t="s">
        <v>396</v>
      </c>
      <c r="C12" s="86" t="s">
        <v>397</v>
      </c>
      <c r="D12" s="86" t="s">
        <v>387</v>
      </c>
      <c r="E12" s="86" t="s">
        <v>388</v>
      </c>
    </row>
    <row r="13" spans="2:5" ht="14.25" customHeight="1" x14ac:dyDescent="0.3">
      <c r="B13" s="85" t="s">
        <v>398</v>
      </c>
      <c r="C13" s="86" t="s">
        <v>399</v>
      </c>
      <c r="D13" s="86" t="s">
        <v>387</v>
      </c>
      <c r="E13" s="86" t="s">
        <v>388</v>
      </c>
    </row>
    <row r="14" spans="2:5" ht="14.25" customHeight="1" x14ac:dyDescent="0.3">
      <c r="B14" s="85" t="s">
        <v>400</v>
      </c>
      <c r="C14" s="86" t="s">
        <v>401</v>
      </c>
      <c r="D14" s="86" t="s">
        <v>387</v>
      </c>
      <c r="E14" s="86" t="s">
        <v>385</v>
      </c>
    </row>
    <row r="15" spans="2:5" ht="14.25" customHeight="1" x14ac:dyDescent="0.3">
      <c r="B15" s="85" t="s">
        <v>402</v>
      </c>
      <c r="C15" s="86" t="s">
        <v>403</v>
      </c>
      <c r="D15" s="86" t="s">
        <v>387</v>
      </c>
      <c r="E15" s="86" t="s">
        <v>388</v>
      </c>
    </row>
    <row r="16" spans="2:5" ht="14.25" customHeight="1" x14ac:dyDescent="0.3">
      <c r="B16" s="85" t="s">
        <v>404</v>
      </c>
      <c r="C16" s="86" t="s">
        <v>405</v>
      </c>
      <c r="D16" s="86" t="s">
        <v>387</v>
      </c>
      <c r="E16" s="86" t="s">
        <v>388</v>
      </c>
    </row>
    <row r="17" spans="2:5" ht="14.25" customHeight="1" x14ac:dyDescent="0.3">
      <c r="B17" s="85" t="s">
        <v>406</v>
      </c>
      <c r="C17" s="86" t="s">
        <v>407</v>
      </c>
      <c r="D17" s="86" t="s">
        <v>387</v>
      </c>
      <c r="E17" s="86" t="s">
        <v>385</v>
      </c>
    </row>
    <row r="18" spans="2:5" ht="14.25" customHeight="1" x14ac:dyDescent="0.3">
      <c r="B18" s="85" t="s">
        <v>408</v>
      </c>
      <c r="C18" s="86" t="s">
        <v>409</v>
      </c>
      <c r="D18" s="86" t="s">
        <v>387</v>
      </c>
      <c r="E18" s="86" t="s">
        <v>385</v>
      </c>
    </row>
    <row r="19" spans="2:5" ht="14.25" customHeight="1" x14ac:dyDescent="0.3">
      <c r="B19" s="85" t="s">
        <v>190</v>
      </c>
      <c r="C19" s="86" t="s">
        <v>410</v>
      </c>
      <c r="D19" s="86" t="s">
        <v>387</v>
      </c>
      <c r="E19" s="86" t="s">
        <v>388</v>
      </c>
    </row>
    <row r="20" spans="2:5" ht="14.25" customHeight="1" x14ac:dyDescent="0.3">
      <c r="B20" s="85" t="s">
        <v>182</v>
      </c>
      <c r="C20" s="86" t="s">
        <v>411</v>
      </c>
      <c r="D20" s="86" t="s">
        <v>387</v>
      </c>
      <c r="E20" s="86" t="s">
        <v>388</v>
      </c>
    </row>
    <row r="21" spans="2:5" ht="14.25" customHeight="1" x14ac:dyDescent="0.3">
      <c r="B21" s="85" t="s">
        <v>183</v>
      </c>
      <c r="C21" s="86" t="s">
        <v>412</v>
      </c>
      <c r="D21" s="86" t="s">
        <v>387</v>
      </c>
      <c r="E21" s="86" t="s">
        <v>388</v>
      </c>
    </row>
    <row r="22" spans="2:5" ht="14.25" customHeight="1" x14ac:dyDescent="0.3">
      <c r="B22" s="85" t="s">
        <v>187</v>
      </c>
      <c r="C22" s="86" t="s">
        <v>413</v>
      </c>
      <c r="D22" s="86" t="s">
        <v>387</v>
      </c>
      <c r="E22" s="86" t="s">
        <v>388</v>
      </c>
    </row>
    <row r="23" spans="2:5" ht="14.25" customHeight="1" x14ac:dyDescent="0.3">
      <c r="B23" s="85" t="s">
        <v>414</v>
      </c>
      <c r="C23" s="86" t="s">
        <v>415</v>
      </c>
      <c r="D23" s="86" t="s">
        <v>387</v>
      </c>
      <c r="E23" s="86" t="s">
        <v>388</v>
      </c>
    </row>
    <row r="24" spans="2:5" ht="14.25" customHeight="1" x14ac:dyDescent="0.3">
      <c r="B24" s="85" t="s">
        <v>416</v>
      </c>
      <c r="C24" s="86" t="s">
        <v>417</v>
      </c>
      <c r="D24" s="86" t="s">
        <v>387</v>
      </c>
      <c r="E24" s="86" t="s">
        <v>388</v>
      </c>
    </row>
    <row r="25" spans="2:5" ht="14.25" customHeight="1" x14ac:dyDescent="0.3">
      <c r="B25" s="85" t="s">
        <v>418</v>
      </c>
      <c r="C25" s="86" t="s">
        <v>419</v>
      </c>
      <c r="D25" s="86" t="s">
        <v>387</v>
      </c>
      <c r="E25" s="86" t="s">
        <v>385</v>
      </c>
    </row>
    <row r="26" spans="2:5" ht="14.25" customHeight="1" x14ac:dyDescent="0.3">
      <c r="B26" s="85" t="s">
        <v>420</v>
      </c>
      <c r="C26" s="86" t="s">
        <v>421</v>
      </c>
      <c r="D26" s="86" t="s">
        <v>387</v>
      </c>
      <c r="E26" s="86" t="s">
        <v>385</v>
      </c>
    </row>
    <row r="27" spans="2:5" ht="14.25" customHeight="1" x14ac:dyDescent="0.3">
      <c r="B27" s="85" t="s">
        <v>422</v>
      </c>
      <c r="C27" s="86" t="s">
        <v>423</v>
      </c>
      <c r="D27" s="86" t="s">
        <v>387</v>
      </c>
      <c r="E27" s="86" t="s">
        <v>388</v>
      </c>
    </row>
    <row r="28" spans="2:5" ht="14.25" customHeight="1" x14ac:dyDescent="0.3">
      <c r="B28" s="85" t="s">
        <v>424</v>
      </c>
      <c r="C28" s="86" t="s">
        <v>425</v>
      </c>
      <c r="D28" s="86" t="s">
        <v>426</v>
      </c>
      <c r="E28" s="86" t="s">
        <v>427</v>
      </c>
    </row>
    <row r="29" spans="2:5" ht="14.25" customHeight="1" x14ac:dyDescent="0.3">
      <c r="B29" s="85" t="s">
        <v>428</v>
      </c>
      <c r="C29" s="86" t="s">
        <v>429</v>
      </c>
      <c r="D29" s="86" t="s">
        <v>426</v>
      </c>
      <c r="E29" s="86" t="s">
        <v>427</v>
      </c>
    </row>
    <row r="30" spans="2:5" ht="14.25" customHeight="1" x14ac:dyDescent="0.3">
      <c r="B30" s="85" t="s">
        <v>430</v>
      </c>
      <c r="C30" s="86" t="s">
        <v>431</v>
      </c>
      <c r="D30" s="86" t="s">
        <v>426</v>
      </c>
      <c r="E30" s="86" t="s">
        <v>427</v>
      </c>
    </row>
    <row r="31" spans="2:5" ht="14.25" customHeight="1" x14ac:dyDescent="0.3">
      <c r="B31" s="85" t="s">
        <v>432</v>
      </c>
      <c r="C31" s="86" t="s">
        <v>433</v>
      </c>
      <c r="D31" s="86" t="s">
        <v>426</v>
      </c>
      <c r="E31" s="86" t="s">
        <v>427</v>
      </c>
    </row>
    <row r="32" spans="2:5" ht="14.25" customHeight="1" x14ac:dyDescent="0.3">
      <c r="B32" s="85" t="s">
        <v>180</v>
      </c>
      <c r="C32" s="86" t="s">
        <v>434</v>
      </c>
      <c r="D32" s="86" t="s">
        <v>426</v>
      </c>
      <c r="E32" s="86" t="s">
        <v>427</v>
      </c>
    </row>
    <row r="33" spans="2:5" ht="14.25" customHeight="1" x14ac:dyDescent="0.3">
      <c r="B33" s="85" t="s">
        <v>435</v>
      </c>
      <c r="C33" s="86" t="s">
        <v>436</v>
      </c>
      <c r="D33" s="86" t="s">
        <v>426</v>
      </c>
      <c r="E33" s="86" t="s">
        <v>427</v>
      </c>
    </row>
    <row r="34" spans="2:5" ht="14.25" customHeight="1" x14ac:dyDescent="0.3">
      <c r="B34" s="87" t="s">
        <v>437</v>
      </c>
      <c r="C34" s="87" t="s">
        <v>438</v>
      </c>
      <c r="D34" s="87" t="s">
        <v>426</v>
      </c>
      <c r="E34" s="87" t="s">
        <v>427</v>
      </c>
    </row>
    <row r="35" spans="2:5" ht="14.25" customHeight="1" x14ac:dyDescent="0.3">
      <c r="B35" s="87" t="s">
        <v>439</v>
      </c>
      <c r="C35" s="87" t="s">
        <v>440</v>
      </c>
      <c r="D35" s="87" t="s">
        <v>426</v>
      </c>
      <c r="E35" s="87" t="s">
        <v>427</v>
      </c>
    </row>
    <row r="36" spans="2:5" ht="14.25" customHeight="1" x14ac:dyDescent="0.3">
      <c r="B36" s="87" t="s">
        <v>441</v>
      </c>
      <c r="C36" s="87" t="s">
        <v>442</v>
      </c>
      <c r="D36" s="87" t="s">
        <v>426</v>
      </c>
      <c r="E36" s="87" t="s">
        <v>427</v>
      </c>
    </row>
    <row r="37" spans="2:5" ht="14.25" customHeight="1" x14ac:dyDescent="0.3">
      <c r="B37" s="87" t="s">
        <v>189</v>
      </c>
      <c r="C37" s="87" t="s">
        <v>443</v>
      </c>
      <c r="D37" s="87" t="s">
        <v>426</v>
      </c>
      <c r="E37" s="87" t="s">
        <v>427</v>
      </c>
    </row>
    <row r="38" spans="2:5" ht="14.25" customHeight="1" x14ac:dyDescent="0.3">
      <c r="B38" s="87" t="s">
        <v>444</v>
      </c>
      <c r="C38" s="87" t="s">
        <v>445</v>
      </c>
      <c r="D38" s="87" t="s">
        <v>426</v>
      </c>
      <c r="E38" s="87" t="s">
        <v>388</v>
      </c>
    </row>
    <row r="39" spans="2:5" ht="14.25" customHeight="1" x14ac:dyDescent="0.3">
      <c r="B39" s="87" t="s">
        <v>446</v>
      </c>
      <c r="C39" s="87" t="s">
        <v>447</v>
      </c>
      <c r="D39" s="87" t="s">
        <v>426</v>
      </c>
      <c r="E39" s="87" t="s">
        <v>388</v>
      </c>
    </row>
    <row r="40" spans="2:5" ht="14.25" customHeight="1" x14ac:dyDescent="0.3">
      <c r="B40" s="87" t="s">
        <v>448</v>
      </c>
      <c r="C40" s="87" t="s">
        <v>449</v>
      </c>
      <c r="D40" s="87" t="s">
        <v>426</v>
      </c>
      <c r="E40" s="87" t="s">
        <v>427</v>
      </c>
    </row>
    <row r="41" spans="2:5" ht="14.25" customHeight="1" x14ac:dyDescent="0.3">
      <c r="B41" s="87" t="s">
        <v>174</v>
      </c>
      <c r="C41" s="87" t="s">
        <v>450</v>
      </c>
      <c r="D41" s="87" t="s">
        <v>426</v>
      </c>
      <c r="E41" s="87" t="s">
        <v>427</v>
      </c>
    </row>
    <row r="42" spans="2:5" ht="14.25" customHeight="1" x14ac:dyDescent="0.3">
      <c r="B42" s="87" t="s">
        <v>451</v>
      </c>
      <c r="C42" s="87" t="s">
        <v>452</v>
      </c>
      <c r="D42" s="87" t="s">
        <v>453</v>
      </c>
      <c r="E42" s="87" t="s">
        <v>388</v>
      </c>
    </row>
    <row r="43" spans="2:5" ht="14.25" customHeight="1" x14ac:dyDescent="0.3">
      <c r="B43" s="87" t="s">
        <v>176</v>
      </c>
      <c r="C43" s="87" t="s">
        <v>454</v>
      </c>
      <c r="D43" s="87" t="s">
        <v>453</v>
      </c>
      <c r="E43" s="87" t="s">
        <v>388</v>
      </c>
    </row>
    <row r="44" spans="2:5" ht="14.25" customHeight="1" x14ac:dyDescent="0.3">
      <c r="B44" s="87" t="s">
        <v>175</v>
      </c>
      <c r="C44" s="87" t="s">
        <v>455</v>
      </c>
      <c r="D44" s="87" t="s">
        <v>426</v>
      </c>
      <c r="E44" s="87" t="s">
        <v>427</v>
      </c>
    </row>
    <row r="45" spans="2:5" ht="14.25" customHeight="1" x14ac:dyDescent="0.3">
      <c r="B45" s="87" t="s">
        <v>186</v>
      </c>
      <c r="C45" s="87" t="s">
        <v>456</v>
      </c>
      <c r="D45" s="87" t="s">
        <v>457</v>
      </c>
      <c r="E45" s="87" t="s">
        <v>427</v>
      </c>
    </row>
    <row r="46" spans="2:5" ht="14.25" customHeight="1" x14ac:dyDescent="0.3">
      <c r="B46" s="87" t="s">
        <v>191</v>
      </c>
      <c r="C46" s="87" t="s">
        <v>458</v>
      </c>
      <c r="D46" s="87" t="s">
        <v>457</v>
      </c>
      <c r="E46" s="87" t="s">
        <v>427</v>
      </c>
    </row>
    <row r="47" spans="2:5" ht="14.25" customHeight="1" x14ac:dyDescent="0.3">
      <c r="B47" s="87" t="s">
        <v>459</v>
      </c>
      <c r="C47" s="87" t="s">
        <v>460</v>
      </c>
      <c r="D47" s="87" t="s">
        <v>457</v>
      </c>
      <c r="E47" s="87" t="s">
        <v>427</v>
      </c>
    </row>
    <row r="48" spans="2:5" ht="14.25" customHeight="1" x14ac:dyDescent="0.3">
      <c r="B48" s="87" t="s">
        <v>461</v>
      </c>
      <c r="C48" s="87" t="s">
        <v>462</v>
      </c>
      <c r="D48" s="87" t="s">
        <v>457</v>
      </c>
      <c r="E48" s="87" t="s">
        <v>427</v>
      </c>
    </row>
    <row r="49" spans="2:5" ht="14.25" customHeight="1" x14ac:dyDescent="0.3">
      <c r="B49" s="87" t="s">
        <v>179</v>
      </c>
      <c r="C49" s="87" t="s">
        <v>463</v>
      </c>
      <c r="D49" s="87" t="s">
        <v>457</v>
      </c>
      <c r="E49" s="87" t="s">
        <v>427</v>
      </c>
    </row>
  </sheetData>
  <sheetProtection selectLockedCells="1" selectUnlockedCells="1"/>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D35"/>
  <sheetViews>
    <sheetView showGridLines="0" zoomScaleNormal="100" workbookViewId="0">
      <selection activeCell="C17" sqref="C17"/>
    </sheetView>
  </sheetViews>
  <sheetFormatPr defaultColWidth="8.6640625" defaultRowHeight="14.4" x14ac:dyDescent="0.3"/>
  <cols>
    <col min="2" max="2" width="51.88671875" customWidth="1"/>
    <col min="3" max="3" width="56" customWidth="1"/>
    <col min="4" max="4" width="51.5546875" customWidth="1"/>
    <col min="5" max="5" width="42" customWidth="1"/>
  </cols>
  <sheetData>
    <row r="2" spans="2:4" ht="18" customHeight="1" x14ac:dyDescent="0.35">
      <c r="B2" s="13" t="s">
        <v>464</v>
      </c>
    </row>
    <row r="3" spans="2:4" ht="14.25" customHeight="1" x14ac:dyDescent="0.3">
      <c r="B3" s="14" t="s">
        <v>193</v>
      </c>
    </row>
    <row r="5" spans="2:4" ht="25.5" customHeight="1" x14ac:dyDescent="0.3">
      <c r="B5" s="16" t="s">
        <v>465</v>
      </c>
      <c r="C5" s="16" t="s">
        <v>466</v>
      </c>
      <c r="D5" s="16" t="s">
        <v>467</v>
      </c>
    </row>
    <row r="6" spans="2:4" ht="14.25" customHeight="1" x14ac:dyDescent="0.3">
      <c r="B6" s="18" t="s">
        <v>468</v>
      </c>
      <c r="C6" s="88" t="str">
        <f>IF(SUMPRODUCT(--(N('CRT220'!E7:E37)&lt;N('CRT220'!D7:D37)))&gt;0,"CHECK","OK")</f>
        <v>OK</v>
      </c>
      <c r="D6" s="89" t="s">
        <v>469</v>
      </c>
    </row>
    <row r="7" spans="2:4" ht="14.25" customHeight="1" x14ac:dyDescent="0.3">
      <c r="B7" s="18" t="s">
        <v>470</v>
      </c>
      <c r="C7" s="88" t="str">
        <f>IF(SUMPRODUCT(--(N('CRT220'!F7:F37)&gt;'SETUP &amp; TARGETS'!$C7))&gt;0,"CHECK","OK")</f>
        <v>OK</v>
      </c>
      <c r="D7" s="89" t="s">
        <v>471</v>
      </c>
    </row>
    <row r="8" spans="2:4" ht="14.25" customHeight="1" x14ac:dyDescent="0.3">
      <c r="B8" s="18" t="s">
        <v>472</v>
      </c>
      <c r="C8" s="88" t="str">
        <f>IF(SUMPRODUCT(--(N('CRT220'!I7:I37)&gt;'SETUP &amp; TARGETS'!$C10))&gt;0,"CHECK","OK")</f>
        <v>OK</v>
      </c>
      <c r="D8" s="89" t="s">
        <v>473</v>
      </c>
    </row>
    <row r="9" spans="2:4" ht="14.25" customHeight="1" x14ac:dyDescent="0.3">
      <c r="B9" s="18" t="s">
        <v>474</v>
      </c>
      <c r="C9" s="88" t="str">
        <f>IF(SUMPRODUCT(--(N('CRT221'!E7:E37)&lt;N('CRT221'!D7:D37)))&gt;0,"CHECK","OK")</f>
        <v>OK</v>
      </c>
      <c r="D9" s="89" t="s">
        <v>475</v>
      </c>
    </row>
    <row r="10" spans="2:4" ht="14.25" customHeight="1" x14ac:dyDescent="0.3">
      <c r="B10" s="18" t="s">
        <v>476</v>
      </c>
      <c r="C10" s="88" t="str">
        <f>IF(SUMPRODUCT(--(N('CRT221'!F7:F37)&gt;'SETUP &amp; TARGETS'!$C7))&gt;0,"CHECK","OK")</f>
        <v>OK</v>
      </c>
      <c r="D10" s="89" t="s">
        <v>477</v>
      </c>
    </row>
    <row r="11" spans="2:4" ht="14.25" customHeight="1" x14ac:dyDescent="0.3">
      <c r="B11" s="18" t="s">
        <v>478</v>
      </c>
      <c r="C11" s="88" t="str">
        <f>IF(SUMPRODUCT(--(N('CRT221'!I7:I37)&gt;'SETUP &amp; TARGETS'!$C10))&gt;0,"CHECK","OK")</f>
        <v>OK</v>
      </c>
      <c r="D11" s="89" t="s">
        <v>479</v>
      </c>
    </row>
    <row r="12" spans="2:4" ht="14.25" customHeight="1" x14ac:dyDescent="0.3">
      <c r="B12" s="18" t="s">
        <v>480</v>
      </c>
      <c r="C12" s="88" t="str">
        <f>IF(SUMPRODUCT(--(N('CRT222'!E7:E37)&lt;N('CRT222'!D7:D37)))&gt;0,"CHECK","OK")</f>
        <v>CHECK</v>
      </c>
      <c r="D12" s="89" t="s">
        <v>481</v>
      </c>
    </row>
    <row r="13" spans="2:4" ht="14.25" customHeight="1" x14ac:dyDescent="0.3">
      <c r="B13" s="18" t="s">
        <v>482</v>
      </c>
      <c r="C13" s="88" t="str">
        <f>IF(SUMPRODUCT(--(N('CRT222'!F7:F37)&gt;'SETUP &amp; TARGETS'!$C7))&gt;0,"CHECK","OK")</f>
        <v>OK</v>
      </c>
      <c r="D13" s="89" t="s">
        <v>483</v>
      </c>
    </row>
    <row r="14" spans="2:4" ht="14.25" customHeight="1" x14ac:dyDescent="0.3">
      <c r="B14" s="18" t="s">
        <v>484</v>
      </c>
      <c r="C14" s="88" t="str">
        <f>IF(SUMPRODUCT(--(N('CRT222'!I7:I37)&gt;'SETUP &amp; TARGETS'!$C10))&gt;0,"CHECK","OK")</f>
        <v>OK</v>
      </c>
      <c r="D14" s="89" t="s">
        <v>485</v>
      </c>
    </row>
    <row r="15" spans="2:4" ht="14.25" customHeight="1" x14ac:dyDescent="0.3">
      <c r="B15" s="18" t="s">
        <v>486</v>
      </c>
      <c r="C15" s="88" t="str">
        <f>IF(SUMPRODUCT(--(N('CRT224'!E7:E37)&lt;N('CRT224'!D7:D37)))&gt;0,"CHECK","OK")</f>
        <v>OK</v>
      </c>
      <c r="D15" s="89" t="s">
        <v>487</v>
      </c>
    </row>
    <row r="16" spans="2:4" ht="14.25" customHeight="1" x14ac:dyDescent="0.3">
      <c r="B16" s="18" t="s">
        <v>488</v>
      </c>
      <c r="C16" s="88" t="str">
        <f>IF(SUMPRODUCT(--(N('CRT224'!F7:F37)&gt;'SETUP &amp; TARGETS'!$C7))&gt;0,"CHECK","OK")</f>
        <v>OK</v>
      </c>
      <c r="D16" s="89" t="s">
        <v>489</v>
      </c>
    </row>
    <row r="17" spans="2:4" ht="14.25" customHeight="1" x14ac:dyDescent="0.3">
      <c r="B17" s="18" t="s">
        <v>490</v>
      </c>
      <c r="C17" s="88" t="str">
        <f>IF(SUMPRODUCT(--(N('CRT224'!I7:I37)&gt;'SETUP &amp; TARGETS'!$C10))&gt;0,"CHECK","OK")</f>
        <v>OK</v>
      </c>
      <c r="D17" s="89" t="s">
        <v>491</v>
      </c>
    </row>
    <row r="18" spans="2:4" ht="14.25" customHeight="1" x14ac:dyDescent="0.3">
      <c r="B18" s="18" t="s">
        <v>492</v>
      </c>
      <c r="C18" s="88" t="str">
        <f>IF(SUMPRODUCT(--(N('CRT225'!E7:E37)&lt;N('CRT225'!D7:D37)))&gt;0,"CHECK","OK")</f>
        <v>OK</v>
      </c>
      <c r="D18" s="89" t="s">
        <v>493</v>
      </c>
    </row>
    <row r="19" spans="2:4" ht="14.25" customHeight="1" x14ac:dyDescent="0.3">
      <c r="B19" s="18" t="s">
        <v>494</v>
      </c>
      <c r="C19" s="88" t="str">
        <f>IF(SUMPRODUCT(--(N('CRT225'!F7:F37)&gt;'SETUP &amp; TARGETS'!$C7))&gt;0,"CHECK","OK")</f>
        <v>OK</v>
      </c>
      <c r="D19" s="89" t="s">
        <v>495</v>
      </c>
    </row>
    <row r="20" spans="2:4" ht="14.25" customHeight="1" x14ac:dyDescent="0.3">
      <c r="B20" s="18" t="s">
        <v>496</v>
      </c>
      <c r="C20" s="88" t="str">
        <f>IF(SUMPRODUCT(--(N('CRT225'!I7:I37)&gt;'SETUP &amp; TARGETS'!$C10))&gt;0,"CHECK","OK")</f>
        <v>OK</v>
      </c>
      <c r="D20" s="89" t="s">
        <v>497</v>
      </c>
    </row>
    <row r="21" spans="2:4" ht="14.25" customHeight="1" x14ac:dyDescent="0.3">
      <c r="B21" s="18" t="s">
        <v>498</v>
      </c>
      <c r="C21" s="88" t="str">
        <f>IF('FLEET SUMMARY'!E12&gt;0,"OK","CHECK")</f>
        <v>OK</v>
      </c>
      <c r="D21" s="89" t="s">
        <v>499</v>
      </c>
    </row>
    <row r="22" spans="2:4" ht="14.25" customHeight="1" x14ac:dyDescent="0.3">
      <c r="B22" s="18" t="s">
        <v>500</v>
      </c>
      <c r="C22" s="88" t="str">
        <f>IF('CRT220'!J38='SETUP &amp; TARGETS'!$C9,"OK","CHECK")</f>
        <v>OK</v>
      </c>
      <c r="D22" s="89" t="s">
        <v>501</v>
      </c>
    </row>
    <row r="24" spans="2:4" x14ac:dyDescent="0.3">
      <c r="B24" s="30" t="s">
        <v>502</v>
      </c>
    </row>
    <row r="25" spans="2:4" x14ac:dyDescent="0.3">
      <c r="B25" s="90" t="s">
        <v>503</v>
      </c>
      <c r="C25" s="91" t="str">
        <f>IF(SUMPRODUCT(--('MAINTENANCE LOG'!$C$8:$C$107&lt;&gt;""),--(COUNTIF('EQUIPMENT REGISTER'!$B$7:$B$21,'MAINTENANCE LOG'!$C$8:$C$107)=0))&gt;0,"CHECK","OK")</f>
        <v>OK</v>
      </c>
      <c r="D25" s="90" t="s">
        <v>504</v>
      </c>
    </row>
    <row r="26" spans="2:4" x14ac:dyDescent="0.3">
      <c r="B26" s="90" t="s">
        <v>505</v>
      </c>
      <c r="C26" s="91" t="str">
        <f>IF(SUMPRODUCT(--('MAINTENANCE LOG'!$B$8:$B$107&lt;&gt;""),--('MAINTENANCE LOG'!$J$8:$J$107=""))&gt;0,"CHECK","OK")</f>
        <v>OK</v>
      </c>
      <c r="D26" s="90" t="s">
        <v>506</v>
      </c>
    </row>
    <row r="27" spans="2:4" x14ac:dyDescent="0.3">
      <c r="B27" s="90" t="s">
        <v>507</v>
      </c>
      <c r="C27" s="91" t="str">
        <f>IF(SUMPRODUCT(--('MAINTENANCE LOG'!$B$8:$B$107&lt;&gt;""),--('MAINTENANCE LOG'!$H$8:$H$107=""))&gt;0,"CHECK","OK")</f>
        <v>OK</v>
      </c>
      <c r="D27" s="90" t="s">
        <v>508</v>
      </c>
    </row>
    <row r="28" spans="2:4" x14ac:dyDescent="0.3">
      <c r="B28" s="90" t="s">
        <v>509</v>
      </c>
      <c r="C28" s="91" t="str">
        <f>IF(SUMPRODUCT(--('MAINTENANCE LOG'!$B$8:$B$107&lt;&gt;""),--('MAINTENANCE LOG'!$O$8:$O$107=""))&gt;0,"CHECK","OK")</f>
        <v>OK</v>
      </c>
      <c r="D28" s="90" t="s">
        <v>510</v>
      </c>
    </row>
    <row r="29" spans="2:4" x14ac:dyDescent="0.3">
      <c r="B29" s="90" t="s">
        <v>511</v>
      </c>
      <c r="C29" s="91" t="str">
        <f>IF(SUMPRODUCT(--('MAINTENANCE LOG'!$N$8:$N$107&lt;&gt;""),--('MAINTENANCE LOG'!$Q$8:$Q$107&lt;&gt;""),--('MAINTENANCE LOG'!$Q$8:$Q$107&lt;'MAINTENANCE LOG'!$N$8:$N$107))&gt;0,"CHECK","OK")</f>
        <v>OK</v>
      </c>
      <c r="D29" s="90" t="s">
        <v>512</v>
      </c>
    </row>
    <row r="30" spans="2:4" x14ac:dyDescent="0.3">
      <c r="B30" s="90" t="s">
        <v>513</v>
      </c>
      <c r="C30" s="91" t="str">
        <f>IF(SUMPRODUCT(--('MAINTENANCE LOG'!$Z$8:$Z$107="Completed"),--('MAINTENANCE LOG'!$Q$8:$Q$107=""))&gt;0,"CHECK","OK")</f>
        <v>OK</v>
      </c>
      <c r="D30" s="90" t="s">
        <v>514</v>
      </c>
    </row>
    <row r="31" spans="2:4" x14ac:dyDescent="0.3">
      <c r="B31" s="90" t="s">
        <v>515</v>
      </c>
      <c r="C31" s="91" t="str">
        <f ca="1">IF(COUNTIF('MAINTENANCE LOG'!$U$8:$U$107,"OVERDUE")&gt;0,"CHECK","OK")</f>
        <v>OK</v>
      </c>
      <c r="D31" s="90" t="s">
        <v>516</v>
      </c>
    </row>
    <row r="32" spans="2:4" x14ac:dyDescent="0.3">
      <c r="B32" s="90" t="s">
        <v>517</v>
      </c>
      <c r="C32" s="91" t="str">
        <f>IF(SUMPRODUCT(--('MECHANIC ROSTER'!$E$8:$E$38&gt;'SETUP &amp; TARGETS'!$C$28))+SUMPRODUCT(--('MECHANIC ROSTER'!$I$8:$I$38&gt;'SETUP &amp; TARGETS'!$C$28))+SUMPRODUCT(--('MECHANIC ROSTER'!$M$8:$M$38&gt;'SETUP &amp; TARGETS'!$C$28))+SUMPRODUCT(--('MECHANIC ROSTER'!$Q$8:$Q$38&gt;'SETUP &amp; TARGETS'!$C$28))&gt;0,"CHECK","OK")</f>
        <v>OK</v>
      </c>
      <c r="D32" s="90" t="s">
        <v>518</v>
      </c>
    </row>
    <row r="33" spans="2:4" x14ac:dyDescent="0.3">
      <c r="B33" s="90" t="s">
        <v>519</v>
      </c>
      <c r="C33" s="91" t="str">
        <f>IF(SUMPRODUCT(--('MECHANIC ROSTER'!$F$8:$F$38&gt;'MECHANIC ROSTER'!$E$8:$E$38))+SUMPRODUCT(--('MECHANIC ROSTER'!$J$8:$J$38&gt;'MECHANIC ROSTER'!$I$8:$I$38))+SUMPRODUCT(--('MECHANIC ROSTER'!$N$8:$N$38&gt;'MECHANIC ROSTER'!$M$8:$M$38))+SUMPRODUCT(--('MECHANIC ROSTER'!$R$8:$R$38&gt;'MECHANIC ROSTER'!$Q$8:$Q$38))&gt;0,"CHECK","OK")</f>
        <v>CHECK</v>
      </c>
      <c r="D33" s="90" t="s">
        <v>520</v>
      </c>
    </row>
    <row r="34" spans="2:4" x14ac:dyDescent="0.3">
      <c r="B34" s="90" t="s">
        <v>521</v>
      </c>
      <c r="C34" s="91" t="str">
        <f>IF(COUNTA('EQUIPMENT REGISTER'!$B$7:$B$21)-COUNT('EQUIPMENT REGISTER'!$P$7:$P$21)&gt;0,"CHECK","OK")</f>
        <v>CHECK</v>
      </c>
      <c r="D34" s="90" t="s">
        <v>522</v>
      </c>
    </row>
    <row r="35" spans="2:4" x14ac:dyDescent="0.3">
      <c r="B35" s="90" t="s">
        <v>523</v>
      </c>
      <c r="C35" s="91" t="str">
        <f>IF(COUNTA('EQUIPMENT REGISTER'!$B$7:$B$21)-COUNT('EQUIPMENT REGISTER'!$M$7:$M$21)&gt;0,"CHECK","OK")</f>
        <v>CHECK</v>
      </c>
      <c r="D35" s="90" t="s">
        <v>524</v>
      </c>
    </row>
  </sheetData>
  <conditionalFormatting sqref="C6:C22">
    <cfRule type="cellIs" dxfId="3" priority="2" operator="equal">
      <formula>"OK"</formula>
    </cfRule>
    <cfRule type="cellIs" dxfId="2" priority="3" operator="equal">
      <formula>"CHECK"</formula>
    </cfRule>
  </conditionalFormatting>
  <conditionalFormatting sqref="C25:C35">
    <cfRule type="cellIs" dxfId="1" priority="4" operator="equal">
      <formula>"CHECK"</formula>
    </cfRule>
    <cfRule type="cellIs" dxfId="0" priority="5" operator="equal">
      <formula>"OK"</formula>
    </cfRule>
  </conditionalFormatting>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49d8354-b3fb-4def-972a-53dfe3ef3311" xsi:nil="true"/>
    <lcf76f155ced4ddcb4097134ff3c332f xmlns="d325e58e-dd8b-4ac9-a8ff-eca3df00709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D8D21C0BD6EB43AB21FDBBCFBF8230" ma:contentTypeVersion="15" ma:contentTypeDescription="Create a new document." ma:contentTypeScope="" ma:versionID="59fcc21dd0d2d035ce91c76bda490815">
  <xsd:schema xmlns:xsd="http://www.w3.org/2001/XMLSchema" xmlns:xs="http://www.w3.org/2001/XMLSchema" xmlns:p="http://schemas.microsoft.com/office/2006/metadata/properties" xmlns:ns2="749d8354-b3fb-4def-972a-53dfe3ef3311" xmlns:ns3="d325e58e-dd8b-4ac9-a8ff-eca3df00709f" targetNamespace="http://schemas.microsoft.com/office/2006/metadata/properties" ma:root="true" ma:fieldsID="dcc96ea8205d5c10116fd1a13e19f6c9" ns2:_="" ns3:_="">
    <xsd:import namespace="749d8354-b3fb-4def-972a-53dfe3ef3311"/>
    <xsd:import namespace="d325e58e-dd8b-4ac9-a8ff-eca3df00709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9d8354-b3fb-4def-972a-53dfe3ef331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e44c123d-1d97-4aac-b985-b7135c00c847}" ma:internalName="TaxCatchAll" ma:showField="CatchAllData" ma:web="749d8354-b3fb-4def-972a-53dfe3ef331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325e58e-dd8b-4ac9-a8ff-eca3df00709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67fe7b5-6179-4d92-a483-49bc721f846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8ABCE1-3A59-4A94-A0B2-AA52CCB2A787}">
  <ds:schemaRefs>
    <ds:schemaRef ds:uri="http://schemas.microsoft.com/office/2006/metadata/properties"/>
    <ds:schemaRef ds:uri="http://schemas.microsoft.com/office/infopath/2007/PartnerControls"/>
    <ds:schemaRef ds:uri="749d8354-b3fb-4def-972a-53dfe3ef3311"/>
    <ds:schemaRef ds:uri="d325e58e-dd8b-4ac9-a8ff-eca3df00709f"/>
  </ds:schemaRefs>
</ds:datastoreItem>
</file>

<file path=customXml/itemProps2.xml><?xml version="1.0" encoding="utf-8"?>
<ds:datastoreItem xmlns:ds="http://schemas.openxmlformats.org/officeDocument/2006/customXml" ds:itemID="{FB1423B1-6E5F-445B-BEA2-F635E7429F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9d8354-b3fb-4def-972a-53dfe3ef3311"/>
    <ds:schemaRef ds:uri="d325e58e-dd8b-4ac9-a8ff-eca3df0070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60AA07-17C8-4716-9487-3541DC6CB0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DASHBOARD</vt:lpstr>
      <vt:lpstr>INFO - MECHANICAL</vt:lpstr>
      <vt:lpstr>FLEET SUMMARY</vt:lpstr>
      <vt:lpstr>MECHANIC PERFORMANCE</vt:lpstr>
      <vt:lpstr>AVAILABILITY</vt:lpstr>
      <vt:lpstr>SETUP &amp; TARGETS</vt:lpstr>
      <vt:lpstr>CRT220</vt:lpstr>
      <vt:lpstr>CRT221</vt:lpstr>
      <vt:lpstr>CRT222</vt:lpstr>
      <vt:lpstr>CRT224</vt:lpstr>
      <vt:lpstr>CRT225</vt:lpstr>
      <vt:lpstr>MECHANIC ROSTER</vt:lpstr>
      <vt:lpstr>MAINTENANCE LOG</vt:lpstr>
      <vt:lpstr>DELAY &amp; ROOT CAUSE</vt:lpstr>
      <vt:lpstr>SAFETY KPI</vt:lpstr>
      <vt:lpstr>MTTR &amp; MTBF</vt:lpstr>
      <vt:lpstr>MONTHLY SUMMARY</vt:lpstr>
      <vt:lpstr>EQUIPMENT REGISTER</vt:lpstr>
      <vt:lpstr>DELAY CODE REGISTER</vt:lpstr>
      <vt:lpstr>DATA QUALITY CHECK</vt:lpstr>
      <vt:lpstr>EQUIPLIST</vt:lpstr>
      <vt:lpstr>MECHLIST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Martin Malatji</cp:lastModifiedBy>
  <cp:revision>2</cp:revision>
  <dcterms:created xsi:type="dcterms:W3CDTF">2026-08-13T15:00:05Z</dcterms:created>
  <dcterms:modified xsi:type="dcterms:W3CDTF">2026-09-20T18:10:01Z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0x01010055D8D21C0BD6EB43AB21FDBBCFBF8230</vt:lpwstr>
  </property>
  <property fmtid="{D5CDD505-2E9C-101B-9397-08002B2CF9AE}" pid="3" name="MediaServiceImageTags">
    <vt:lpwstr/>
  </property>
</Properties>
</file>